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Equipos" sheetId="2" state="visible" r:id="rId4"/>
    <sheet name="Fases" sheetId="3" state="visible" r:id="rId5"/>
    <sheet name="Fixture" sheetId="4" state="visible" r:id="rId6"/>
    <sheet name="Usuarios" sheetId="5" state="visible" r:id="rId7"/>
    <sheet name="Predicciones" sheetId="6" state="visible" r:id="rId8"/>
    <sheet name="Bonus" sheetId="7" state="visible" r:id="rId9"/>
    <sheet name="Posiciones" sheetId="8" state="visible" r:id="rId10"/>
    <sheet name="Dashboard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<sst xmlns="http://schemas.openxmlformats.org/spreadsheetml/2006/main" count="622" uniqueCount="279">
  <si>
    <t xml:space="preserve">Penca Mundial FIFA 2026</t>
  </si>
  <si>
    <t xml:space="preserve">Sistema de predicciones — 48 equipos · 104 partidos</t>
  </si>
  <si>
    <t xml:space="preserve">HOJAS DEL LIBRO</t>
  </si>
  <si>
    <t xml:space="preserve">Equipos</t>
  </si>
  <si>
    <t xml:space="preserve">Lista de los 48 equipos clasificados. Solo lectura.</t>
  </si>
  <si>
    <t xml:space="preserve">Fases</t>
  </si>
  <si>
    <t xml:space="preserve">Sistema de puntaje por fase. Solo lectura.</t>
  </si>
  <si>
    <t xml:space="preserve">Fixture</t>
  </si>
  <si>
    <t xml:space="preserve">Los 104 partidos. El admin carga los resultados acá.</t>
  </si>
  <si>
    <t xml:space="preserve">Usuarios</t>
  </si>
  <si>
    <t xml:space="preserve">Participantes de la penca. El admin agrega usuarios acá.</t>
  </si>
  <si>
    <t xml:space="preserve">Predicciones</t>
  </si>
  <si>
    <t xml:space="preserve">Cada participante carga sus predicciones antes de cada partido.</t>
  </si>
  <si>
    <t xml:space="preserve">Bonus</t>
  </si>
  <si>
    <t xml:space="preserve">Predicciones especiales (campeón, goleador, etc.) antes del torneo.</t>
  </si>
  <si>
    <t xml:space="preserve">Posiciones</t>
  </si>
  <si>
    <t xml:space="preserve">Tabla de posiciones. Se actualiza automáticamente. No editar.</t>
  </si>
  <si>
    <t xml:space="preserve">Dashboard</t>
  </si>
  <si>
    <t xml:space="preserve">Resumen visual del estado de la penca.</t>
  </si>
  <si>
    <t xml:space="preserve">CÓMO USAR</t>
  </si>
  <si>
    <t xml:space="preserve">Paso 1</t>
  </si>
  <si>
    <t xml:space="preserve">El admin carga los usuarios en la hoja Usuarios.</t>
  </si>
  <si>
    <t xml:space="preserve">Paso 2</t>
  </si>
  <si>
    <t xml:space="preserve">Cada usuario carga sus predicciones en la hoja Predicciones antes de cada partido.</t>
  </si>
  <si>
    <t xml:space="preserve">Paso 3</t>
  </si>
  <si>
    <t xml:space="preserve">Cada usuario carga sus bonus en la hoja Bonus antes del inicio del torneo.</t>
  </si>
  <si>
    <t xml:space="preserve">Paso 4</t>
  </si>
  <si>
    <t xml:space="preserve">El admin carga los resultados en el Fixture cuando terminan los partidos.</t>
  </si>
  <si>
    <t xml:space="preserve">Paso 5</t>
  </si>
  <si>
    <t xml:space="preserve">Los puntajes se calculan automáticamente en Posiciones.</t>
  </si>
  <si>
    <t xml:space="preserve">REGLAS</t>
  </si>
  <si>
    <t xml:space="preserve">Resultado exacto</t>
  </si>
  <si>
    <t xml:space="preserve">Acertar el marcador exacto. Puntos según la fase.</t>
  </si>
  <si>
    <t xml:space="preserve">Ganador correcto</t>
  </si>
  <si>
    <t xml:space="preserve">Acertar solo quién gana (o que hay empate). Puntos menores.</t>
  </si>
  <si>
    <t xml:space="preserve">Sin predicción</t>
  </si>
  <si>
    <t xml:space="preserve">0 puntos. No hay penalización.</t>
  </si>
  <si>
    <t xml:space="preserve">Bonus campeón</t>
  </si>
  <si>
    <t xml:space="preserve">+15 puntos si acertás el campeón del mundo.</t>
  </si>
  <si>
    <t xml:space="preserve">Equipos — Mundial FIFA 2026</t>
  </si>
  <si>
    <t xml:space="preserve">48 selecciones clasificadas · Solo lectura</t>
  </si>
  <si>
    <t xml:space="preserve">ID</t>
  </si>
  <si>
    <t xml:space="preserve">Nombre</t>
  </si>
  <si>
    <t xml:space="preserve">Código</t>
  </si>
  <si>
    <t xml:space="preserve">Grupo</t>
  </si>
  <si>
    <t xml:space="preserve">Confederación</t>
  </si>
  <si>
    <t xml:space="preserve">Argentina</t>
  </si>
  <si>
    <t xml:space="preserve">ARG</t>
  </si>
  <si>
    <t xml:space="preserve">A</t>
  </si>
  <si>
    <t xml:space="preserve">CONMEBOL</t>
  </si>
  <si>
    <t xml:space="preserve">Bolivia</t>
  </si>
  <si>
    <t xml:space="preserve">BOL</t>
  </si>
  <si>
    <t xml:space="preserve">Ecuador</t>
  </si>
  <si>
    <t xml:space="preserve">ECU</t>
  </si>
  <si>
    <t xml:space="preserve">Uruguay</t>
  </si>
  <si>
    <t xml:space="preserve">URU</t>
  </si>
  <si>
    <t xml:space="preserve">Brasil</t>
  </si>
  <si>
    <t xml:space="preserve">BRA</t>
  </si>
  <si>
    <t xml:space="preserve">B</t>
  </si>
  <si>
    <t xml:space="preserve">Colombia</t>
  </si>
  <si>
    <t xml:space="preserve">COL</t>
  </si>
  <si>
    <t xml:space="preserve">Venezuela</t>
  </si>
  <si>
    <t xml:space="preserve">VEN</t>
  </si>
  <si>
    <t xml:space="preserve">Paraguay</t>
  </si>
  <si>
    <t xml:space="preserve">PAR</t>
  </si>
  <si>
    <t xml:space="preserve">México</t>
  </si>
  <si>
    <t xml:space="preserve">MEX</t>
  </si>
  <si>
    <t xml:space="preserve">C</t>
  </si>
  <si>
    <t xml:space="preserve">CONCACAF</t>
  </si>
  <si>
    <t xml:space="preserve">Estados Unidos</t>
  </si>
  <si>
    <t xml:space="preserve">USA</t>
  </si>
  <si>
    <t xml:space="preserve">Canadá</t>
  </si>
  <si>
    <t xml:space="preserve">CAN</t>
  </si>
  <si>
    <t xml:space="preserve">Costa Rica</t>
  </si>
  <si>
    <t xml:space="preserve">CRC</t>
  </si>
  <si>
    <t xml:space="preserve">Panamá</t>
  </si>
  <si>
    <t xml:space="preserve">PAN</t>
  </si>
  <si>
    <t xml:space="preserve">D</t>
  </si>
  <si>
    <t xml:space="preserve">Honduras</t>
  </si>
  <si>
    <t xml:space="preserve">HON</t>
  </si>
  <si>
    <t xml:space="preserve">Jamaica</t>
  </si>
  <si>
    <t xml:space="preserve">JAM</t>
  </si>
  <si>
    <t xml:space="preserve">Trinidad y Tobago</t>
  </si>
  <si>
    <t xml:space="preserve">TRI</t>
  </si>
  <si>
    <t xml:space="preserve">España</t>
  </si>
  <si>
    <t xml:space="preserve">ESP</t>
  </si>
  <si>
    <t xml:space="preserve">E</t>
  </si>
  <si>
    <t xml:space="preserve">UEFA</t>
  </si>
  <si>
    <t xml:space="preserve">Francia</t>
  </si>
  <si>
    <t xml:space="preserve">FRA</t>
  </si>
  <si>
    <t xml:space="preserve">Alemania</t>
  </si>
  <si>
    <t xml:space="preserve">GER</t>
  </si>
  <si>
    <t xml:space="preserve">Portugal</t>
  </si>
  <si>
    <t xml:space="preserve">POR</t>
  </si>
  <si>
    <t xml:space="preserve">Inglaterra</t>
  </si>
  <si>
    <t xml:space="preserve">ENG</t>
  </si>
  <si>
    <t xml:space="preserve">F</t>
  </si>
  <si>
    <t xml:space="preserve">Italia</t>
  </si>
  <si>
    <t xml:space="preserve">ITA</t>
  </si>
  <si>
    <t xml:space="preserve">Países Bajos</t>
  </si>
  <si>
    <t xml:space="preserve">NED</t>
  </si>
  <si>
    <t xml:space="preserve">Bélgica</t>
  </si>
  <si>
    <t xml:space="preserve">BEL</t>
  </si>
  <si>
    <t xml:space="preserve">Croacia</t>
  </si>
  <si>
    <t xml:space="preserve">CRO</t>
  </si>
  <si>
    <t xml:space="preserve">G</t>
  </si>
  <si>
    <t xml:space="preserve">Suiza</t>
  </si>
  <si>
    <t xml:space="preserve">SUI</t>
  </si>
  <si>
    <t xml:space="preserve">Austria</t>
  </si>
  <si>
    <t xml:space="preserve">AUT</t>
  </si>
  <si>
    <t xml:space="preserve">Hungría</t>
  </si>
  <si>
    <t xml:space="preserve">HUN</t>
  </si>
  <si>
    <t xml:space="preserve">Turquía</t>
  </si>
  <si>
    <t xml:space="preserve">TUR</t>
  </si>
  <si>
    <t xml:space="preserve">H</t>
  </si>
  <si>
    <t xml:space="preserve">Escocia</t>
  </si>
  <si>
    <t xml:space="preserve">SCO</t>
  </si>
  <si>
    <t xml:space="preserve">Serbia</t>
  </si>
  <si>
    <t xml:space="preserve">SRB</t>
  </si>
  <si>
    <t xml:space="preserve">República Checa</t>
  </si>
  <si>
    <t xml:space="preserve">CZE</t>
  </si>
  <si>
    <t xml:space="preserve">Marruecos</t>
  </si>
  <si>
    <t xml:space="preserve">MAR</t>
  </si>
  <si>
    <t xml:space="preserve">I</t>
  </si>
  <si>
    <t xml:space="preserve">CAF</t>
  </si>
  <si>
    <t xml:space="preserve">Senegal</t>
  </si>
  <si>
    <t xml:space="preserve">SEN</t>
  </si>
  <si>
    <t xml:space="preserve">Nigeria</t>
  </si>
  <si>
    <t xml:space="preserve">NGA</t>
  </si>
  <si>
    <t xml:space="preserve">Camerún</t>
  </si>
  <si>
    <t xml:space="preserve">CMR</t>
  </si>
  <si>
    <t xml:space="preserve">Egipto</t>
  </si>
  <si>
    <t xml:space="preserve">EGY</t>
  </si>
  <si>
    <t xml:space="preserve">J</t>
  </si>
  <si>
    <t xml:space="preserve">Costa de Marfil</t>
  </si>
  <si>
    <t xml:space="preserve">CIV</t>
  </si>
  <si>
    <t xml:space="preserve">Sudáfrica</t>
  </si>
  <si>
    <t xml:space="preserve">RSA</t>
  </si>
  <si>
    <t xml:space="preserve">Ghana</t>
  </si>
  <si>
    <t xml:space="preserve">GHA</t>
  </si>
  <si>
    <t xml:space="preserve">Japón</t>
  </si>
  <si>
    <t xml:space="preserve">JPN</t>
  </si>
  <si>
    <t xml:space="preserve">K</t>
  </si>
  <si>
    <t xml:space="preserve">AFC</t>
  </si>
  <si>
    <t xml:space="preserve">Corea del Sur</t>
  </si>
  <si>
    <t xml:space="preserve">KOR</t>
  </si>
  <si>
    <t xml:space="preserve">Arabia Saudita</t>
  </si>
  <si>
    <t xml:space="preserve">KSA</t>
  </si>
  <si>
    <t xml:space="preserve">Australia</t>
  </si>
  <si>
    <t xml:space="preserve">AUS</t>
  </si>
  <si>
    <t xml:space="preserve">Irán</t>
  </si>
  <si>
    <t xml:space="preserve">IRN</t>
  </si>
  <si>
    <t xml:space="preserve">L</t>
  </si>
  <si>
    <t xml:space="preserve">Qatar</t>
  </si>
  <si>
    <t xml:space="preserve">QAT</t>
  </si>
  <si>
    <t xml:space="preserve">Uzbekistán</t>
  </si>
  <si>
    <t xml:space="preserve">UZB</t>
  </si>
  <si>
    <t xml:space="preserve">Nueva Zelanda</t>
  </si>
  <si>
    <t xml:space="preserve">NZL</t>
  </si>
  <si>
    <t xml:space="preserve">OFC</t>
  </si>
  <si>
    <t xml:space="preserve">Fases y sistema de puntaje</t>
  </si>
  <si>
    <t xml:space="preserve">Puntos asignados por fase · Solo lectura</t>
  </si>
  <si>
    <t xml:space="preserve">Fase</t>
  </si>
  <si>
    <t xml:space="preserve">Pts. exacto</t>
  </si>
  <si>
    <t xml:space="preserve">Pts. ganador</t>
  </si>
  <si>
    <t xml:space="preserve">Orden</t>
  </si>
  <si>
    <t xml:space="preserve">Grupos</t>
  </si>
  <si>
    <t xml:space="preserve">Ronda de 32</t>
  </si>
  <si>
    <t xml:space="preserve">Octavos</t>
  </si>
  <si>
    <t xml:space="preserve">Cuartos</t>
  </si>
  <si>
    <t xml:space="preserve">Semifinales</t>
  </si>
  <si>
    <t xml:space="preserve">Final</t>
  </si>
  <si>
    <t xml:space="preserve">Fixture — 104 partidos</t>
  </si>
  <si>
    <t xml:space="preserve">El admin carga los resultados reales cuando terminan los partidos</t>
  </si>
  <si>
    <t xml:space="preserve">Local (ID)</t>
  </si>
  <si>
    <t xml:space="preserve">Visitante (ID)</t>
  </si>
  <si>
    <t xml:space="preserve">Local</t>
  </si>
  <si>
    <t xml:space="preserve">Visitante</t>
  </si>
  <si>
    <t xml:space="preserve">Fecha</t>
  </si>
  <si>
    <t xml:space="preserve">Sede</t>
  </si>
  <si>
    <t xml:space="preserve">Goles L</t>
  </si>
  <si>
    <t xml:space="preserve">Goles V</t>
  </si>
  <si>
    <t xml:space="preserve">Estado</t>
  </si>
  <si>
    <t xml:space="preserve">Sede Grupo A</t>
  </si>
  <si>
    <t xml:space="preserve">PENDIENTE</t>
  </si>
  <si>
    <t xml:space="preserve">Sede Grupo B</t>
  </si>
  <si>
    <t xml:space="preserve">Sede Grupo C</t>
  </si>
  <si>
    <t xml:space="preserve">Sede Grupo D</t>
  </si>
  <si>
    <t xml:space="preserve">Sede Grupo E</t>
  </si>
  <si>
    <t xml:space="preserve">Sede Grupo F</t>
  </si>
  <si>
    <t xml:space="preserve">Sede Grupo G</t>
  </si>
  <si>
    <t xml:space="preserve">Sede Grupo H</t>
  </si>
  <si>
    <t xml:space="preserve">Sede Grupo I</t>
  </si>
  <si>
    <t xml:space="preserve">Sede Grupo J</t>
  </si>
  <si>
    <t xml:space="preserve">Sede Grupo K</t>
  </si>
  <si>
    <t xml:space="preserve">Sede Grupo L</t>
  </si>
  <si>
    <t xml:space="preserve">A definir</t>
  </si>
  <si>
    <t xml:space="preserve">Dallas</t>
  </si>
  <si>
    <t xml:space="preserve">Los Angeles</t>
  </si>
  <si>
    <t xml:space="preserve">Nueva York</t>
  </si>
  <si>
    <t xml:space="preserve">Chicago</t>
  </si>
  <si>
    <t xml:space="preserve">Miami</t>
  </si>
  <si>
    <t xml:space="preserve">Seattle</t>
  </si>
  <si>
    <t xml:space="preserve">Boston</t>
  </si>
  <si>
    <t xml:space="preserve">Houston</t>
  </si>
  <si>
    <t xml:space="preserve">Atlanta</t>
  </si>
  <si>
    <t xml:space="preserve">San Francisco</t>
  </si>
  <si>
    <t xml:space="preserve">Denver</t>
  </si>
  <si>
    <t xml:space="preserve">Kansas City</t>
  </si>
  <si>
    <t xml:space="preserve">Toronto</t>
  </si>
  <si>
    <t xml:space="preserve">Guadalajara</t>
  </si>
  <si>
    <t xml:space="preserve">Ciudad de México</t>
  </si>
  <si>
    <t xml:space="preserve">Monterrey</t>
  </si>
  <si>
    <t xml:space="preserve">MetLife Stadium, Nueva Jersey</t>
  </si>
  <si>
    <t xml:space="preserve">Usuarios — Participantes de la penca</t>
  </si>
  <si>
    <t xml:space="preserve">El admin registra aquí a cada participante</t>
  </si>
  <si>
    <t xml:space="preserve">Nombre completo</t>
  </si>
  <si>
    <t xml:space="preserve">Alias</t>
  </si>
  <si>
    <t xml:space="preserve">Email</t>
  </si>
  <si>
    <t xml:space="preserve">Rol</t>
  </si>
  <si>
    <t xml:space="preserve">Fecha registro</t>
  </si>
  <si>
    <t xml:space="preserve">Activo</t>
  </si>
  <si>
    <t xml:space="preserve">Carlos García</t>
  </si>
  <si>
    <t xml:space="preserve">carlitos</t>
  </si>
  <si>
    <t xml:space="preserve">carlos@email.com</t>
  </si>
  <si>
    <t xml:space="preserve">JUGADOR</t>
  </si>
  <si>
    <t xml:space="preserve">2026-01-15</t>
  </si>
  <si>
    <t xml:space="preserve">Sí</t>
  </si>
  <si>
    <t xml:space="preserve">María López</t>
  </si>
  <si>
    <t xml:space="preserve">mari23</t>
  </si>
  <si>
    <t xml:space="preserve">maria@email.com</t>
  </si>
  <si>
    <t xml:space="preserve">2026-01-16</t>
  </si>
  <si>
    <t xml:space="preserve">Juan Pérez</t>
  </si>
  <si>
    <t xml:space="preserve">juanpe</t>
  </si>
  <si>
    <t xml:space="preserve">juan@email.com</t>
  </si>
  <si>
    <t xml:space="preserve">2026-01-17</t>
  </si>
  <si>
    <t xml:space="preserve">Admin Sistema</t>
  </si>
  <si>
    <t xml:space="preserve">admin</t>
  </si>
  <si>
    <t xml:space="preserve">admin@penca.com</t>
  </si>
  <si>
    <t xml:space="preserve">ADMIN</t>
  </si>
  <si>
    <t xml:space="preserve">2026-01-10</t>
  </si>
  <si>
    <t xml:space="preserve">Cada participante ingresa su marcador predicho · Los puntos se calculan automáticamente</t>
  </si>
  <si>
    <t xml:space="preserve">Usuario (ID)</t>
  </si>
  <si>
    <t xml:space="preserve">Partido (ID)</t>
  </si>
  <si>
    <t xml:space="preserve">Fecha partido</t>
  </si>
  <si>
    <t xml:space="preserve">Goles L pred.</t>
  </si>
  <si>
    <t xml:space="preserve">Goles V pred.</t>
  </si>
  <si>
    <t xml:space="preserve">Resultado real</t>
  </si>
  <si>
    <t xml:space="preserve">Puntos</t>
  </si>
  <si>
    <t xml:space="preserve">Estado partido</t>
  </si>
  <si>
    <t xml:space="preserve">Bonus — Predicciones especiales</t>
  </si>
  <si>
    <t xml:space="preserve">Se cargan antes del inicio del torneo · No se pueden modificar después</t>
  </si>
  <si>
    <t xml:space="preserve">Tipo bonus</t>
  </si>
  <si>
    <t xml:space="preserve">Valor predicho</t>
  </si>
  <si>
    <t xml:space="preserve">Pts. posibles</t>
  </si>
  <si>
    <t xml:space="preserve">Puntos obtenidos</t>
  </si>
  <si>
    <t xml:space="preserve">Campeón del mundo</t>
  </si>
  <si>
    <t xml:space="preserve">Subcampeón</t>
  </si>
  <si>
    <t xml:space="preserve">Goleador del torneo</t>
  </si>
  <si>
    <t xml:space="preserve">Mejor arquero (Guante)</t>
  </si>
  <si>
    <t xml:space="preserve">Tabla de posiciones</t>
  </si>
  <si>
    <t xml:space="preserve">Se actualiza automáticamente · No editar esta hoja</t>
  </si>
  <si>
    <t xml:space="preserve">Pos.</t>
  </si>
  <si>
    <t xml:space="preserve">Pts. predicciones</t>
  </si>
  <si>
    <t xml:space="preserve">Pts. bonus</t>
  </si>
  <si>
    <t xml:space="preserve">Total</t>
  </si>
  <si>
    <t xml:space="preserve">Exactos</t>
  </si>
  <si>
    <t xml:space="preserve">Ganadores</t>
  </si>
  <si>
    <t xml:space="preserve">Dashboard — Estado de la penca</t>
  </si>
  <si>
    <t xml:space="preserve">Resumen automático · No editar</t>
  </si>
  <si>
    <t xml:space="preserve">Partidos jugados</t>
  </si>
  <si>
    <t xml:space="preserve">Partidos pendientes</t>
  </si>
  <si>
    <t xml:space="preserve">Total predicciones cargadas</t>
  </si>
  <si>
    <t xml:space="preserve">Participantes activos</t>
  </si>
  <si>
    <t xml:space="preserve">Líder actual</t>
  </si>
  <si>
    <t xml:space="preserve">Puntaje del líder</t>
  </si>
  <si>
    <t xml:space="preserve">Total puntos repartidos</t>
  </si>
  <si>
    <t xml:space="preserve">Próximo partido</t>
  </si>
  <si>
    <t xml:space="preserve">Mini ranking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</si>
</sst>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\ hh:mm"/>
    <numFmt numFmtId="166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F6E56"/>
      <name val="Arial"/>
      <family val="0"/>
      <charset val="1"/>
    </font>
    <font>
      <i val="true"/>
      <sz val="11"/>
      <color rgb="FF44444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F6E56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6"/>
      <color rgb="FF0F6E56"/>
      <name val="Arial"/>
      <family val="0"/>
      <charset val="1"/>
    </font>
    <font>
      <i val="true"/>
      <sz val="9"/>
      <color rgb="FF444441"/>
      <name val="Arial"/>
      <family val="0"/>
      <charset val="1"/>
    </font>
    <font>
      <b val="true"/>
      <sz val="11"/>
      <color rgb="FF185FA5"/>
      <name val="Arial"/>
      <family val="0"/>
      <charset val="1"/>
    </font>
    <font>
      <b val="true"/>
      <sz val="12"/>
      <color rgb="FF0F6E5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0F6E56"/>
      <name val="Arial"/>
      <family val="0"/>
      <charset val="1"/>
    </font>
    <font>
      <b val="true"/>
      <sz val="11"/>
      <color rgb="FF444441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F6E56"/>
        <bgColor rgb="FF008080"/>
      </patternFill>
    </fill>
    <fill>
      <patternFill patternType="solid">
        <fgColor rgb="FFE1F5EE"/>
        <bgColor rgb="FFF1EFE8"/>
      </patternFill>
    </fill>
    <fill>
      <patternFill patternType="solid">
        <fgColor rgb="FFFFFFFF"/>
        <bgColor rgb="FFF1EFE8"/>
      </patternFill>
    </fill>
    <fill>
      <patternFill patternType="solid">
        <fgColor rgb="FF185FA5"/>
        <bgColor rgb="FF0F6E56"/>
      </patternFill>
    </fill>
    <fill>
      <patternFill patternType="solid">
        <fgColor rgb="FFF1EFE8"/>
        <bgColor rgb="FFFAECE7"/>
      </patternFill>
    </fill>
    <fill>
      <patternFill patternType="solid">
        <fgColor rgb="FF444441"/>
        <bgColor rgb="FF333300"/>
      </patternFill>
    </fill>
    <fill>
      <patternFill patternType="solid">
        <fgColor rgb="FF854F0B"/>
        <bgColor rgb="FF993C1D"/>
      </patternFill>
    </fill>
    <fill>
      <patternFill patternType="solid">
        <fgColor rgb="FFFAEEDA"/>
        <bgColor rgb="FFFAEC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0F6E56"/>
      </font>
      <fill>
        <patternFill>
          <bgColor rgb="FFE1F5EE"/>
        </patternFill>
      </fill>
    </dxf>
    <dxf>
      <font>
        <name val="Arial"/>
        <charset val="1"/>
        <family val="0"/>
        <b val="1"/>
        <color rgb="FF854F0B"/>
      </font>
      <fill>
        <patternFill>
          <bgColor rgb="FFFAEEDA"/>
        </patternFill>
      </fill>
    </dxf>
    <dxf>
      <font>
        <name val="Arial"/>
        <charset val="1"/>
        <family val="0"/>
        <color rgb="FF993C1D"/>
      </font>
      <fill>
        <patternFill>
          <bgColor rgb="FFFAEC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4F0B"/>
      <rgbColor rgb="FF800080"/>
      <rgbColor rgb="FF0F6E56"/>
      <rgbColor rgb="FFCCCCCC"/>
      <rgbColor rgb="FF808080"/>
      <rgbColor rgb="FF9999FF"/>
      <rgbColor rgb="FF993366"/>
      <rgbColor rgb="FFFAEEDA"/>
      <rgbColor rgb="FFE1F5EE"/>
      <rgbColor rgb="FF660066"/>
      <rgbColor rgb="FFFF8080"/>
      <rgbColor rgb="FF185FA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FE8"/>
      <rgbColor rgb="FFCCFFCC"/>
      <rgbColor rgb="FFFAECE7"/>
      <rgbColor rgb="FF99CCFF"/>
      <rgbColor rgb="FFFF99CC"/>
      <rgbColor rgb="FFCC99FF"/>
      <rgbColor rgb="FFFFCC99"/>
      <rgbColor rgb="FF3366FF"/>
      <rgbColor rgb="FF5DCAA5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C1D"/>
      <rgbColor rgb="FF993366"/>
      <rgbColor rgb="FF333399"/>
      <rgbColor rgb="FF4444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false"/>
  </sheetPr>
  <dimension ref="B2:C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5"/>
    <col collapsed="false" customWidth="true" hidden="false" outlineLevel="0" max="3" min="3" style="0" width="55"/>
  </cols>
  <sheetData>
    <row r="2" customFormat="false" ht="39.75" hidden="false" customHeight="tru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6" customFormat="false" ht="18" hidden="false" customHeight="true" outlineLevel="0" collapsed="false">
      <c r="B6" s="3" t="s">
        <v>2</v>
      </c>
      <c r="C6" s="3"/>
    </row>
    <row r="7" customFormat="false" ht="18" hidden="false" customHeight="true" outlineLevel="0" collapsed="false">
      <c r="B7" s="4" t="s">
        <v>3</v>
      </c>
      <c r="C7" s="5" t="s">
        <v>4</v>
      </c>
    </row>
    <row r="8" customFormat="false" ht="18" hidden="false" customHeight="true" outlineLevel="0" collapsed="false">
      <c r="B8" s="4" t="s">
        <v>5</v>
      </c>
      <c r="C8" s="5" t="s">
        <v>6</v>
      </c>
    </row>
    <row r="9" customFormat="false" ht="18" hidden="false" customHeight="true" outlineLevel="0" collapsed="false">
      <c r="B9" s="4" t="s">
        <v>7</v>
      </c>
      <c r="C9" s="5" t="s">
        <v>8</v>
      </c>
    </row>
    <row r="10" customFormat="false" ht="18" hidden="false" customHeight="true" outlineLevel="0" collapsed="false">
      <c r="B10" s="4" t="s">
        <v>9</v>
      </c>
      <c r="C10" s="5" t="s">
        <v>10</v>
      </c>
    </row>
    <row r="11" customFormat="false" ht="18" hidden="false" customHeight="true" outlineLevel="0" collapsed="false">
      <c r="B11" s="4" t="s">
        <v>11</v>
      </c>
      <c r="C11" s="5" t="s">
        <v>12</v>
      </c>
    </row>
    <row r="12" customFormat="false" ht="18" hidden="false" customHeight="true" outlineLevel="0" collapsed="false">
      <c r="B12" s="4" t="s">
        <v>13</v>
      </c>
      <c r="C12" s="5" t="s">
        <v>14</v>
      </c>
    </row>
    <row r="13" customFormat="false" ht="18" hidden="false" customHeight="true" outlineLevel="0" collapsed="false">
      <c r="B13" s="4" t="s">
        <v>15</v>
      </c>
      <c r="C13" s="5" t="s">
        <v>16</v>
      </c>
    </row>
    <row r="14" customFormat="false" ht="18" hidden="false" customHeight="true" outlineLevel="0" collapsed="false">
      <c r="B14" s="4" t="s">
        <v>17</v>
      </c>
      <c r="C14" s="5" t="s">
        <v>18</v>
      </c>
    </row>
    <row r="15" customFormat="false" ht="18" hidden="false" customHeight="true" outlineLevel="0" collapsed="false"/>
    <row r="16" customFormat="false" ht="18" hidden="false" customHeight="true" outlineLevel="0" collapsed="false">
      <c r="B16" s="3" t="s">
        <v>19</v>
      </c>
      <c r="C16" s="3"/>
    </row>
    <row r="17" customFormat="false" ht="18" hidden="false" customHeight="true" outlineLevel="0" collapsed="false">
      <c r="B17" s="4" t="s">
        <v>20</v>
      </c>
      <c r="C17" s="5" t="s">
        <v>21</v>
      </c>
    </row>
    <row r="18" customFormat="false" ht="18" hidden="false" customHeight="true" outlineLevel="0" collapsed="false">
      <c r="B18" s="4" t="s">
        <v>22</v>
      </c>
      <c r="C18" s="5" t="s">
        <v>23</v>
      </c>
    </row>
    <row r="19" customFormat="false" ht="18" hidden="false" customHeight="true" outlineLevel="0" collapsed="false">
      <c r="B19" s="4" t="s">
        <v>24</v>
      </c>
      <c r="C19" s="5" t="s">
        <v>25</v>
      </c>
    </row>
    <row r="20" customFormat="false" ht="18" hidden="false" customHeight="true" outlineLevel="0" collapsed="false">
      <c r="B20" s="4" t="s">
        <v>26</v>
      </c>
      <c r="C20" s="5" t="s">
        <v>27</v>
      </c>
    </row>
    <row r="21" customFormat="false" ht="18" hidden="false" customHeight="true" outlineLevel="0" collapsed="false">
      <c r="B21" s="4" t="s">
        <v>28</v>
      </c>
      <c r="C21" s="5" t="s">
        <v>29</v>
      </c>
    </row>
    <row r="22" customFormat="false" ht="18" hidden="false" customHeight="true" outlineLevel="0" collapsed="false"/>
    <row r="23" customFormat="false" ht="18" hidden="false" customHeight="true" outlineLevel="0" collapsed="false">
      <c r="B23" s="3" t="s">
        <v>30</v>
      </c>
      <c r="C23" s="3"/>
    </row>
    <row r="24" customFormat="false" ht="18" hidden="false" customHeight="true" outlineLevel="0" collapsed="false">
      <c r="B24" s="4" t="s">
        <v>31</v>
      </c>
      <c r="C24" s="5" t="s">
        <v>32</v>
      </c>
    </row>
    <row r="25" customFormat="false" ht="18" hidden="false" customHeight="true" outlineLevel="0" collapsed="false">
      <c r="B25" s="4" t="s">
        <v>33</v>
      </c>
      <c r="C25" s="5" t="s">
        <v>34</v>
      </c>
    </row>
    <row r="26" customFormat="false" ht="18" hidden="false" customHeight="true" outlineLevel="0" collapsed="false">
      <c r="B26" s="4" t="s">
        <v>35</v>
      </c>
      <c r="C26" s="5" t="s">
        <v>36</v>
      </c>
    </row>
    <row r="27" customFormat="false" ht="18" hidden="false" customHeight="true" outlineLevel="0" collapsed="false">
      <c r="B27" s="4" t="s">
        <v>37</v>
      </c>
      <c r="C27" s="5" t="s">
        <v>38</v>
      </c>
    </row>
  </sheetData>
  <mergeCells count="3">
    <mergeCell ref="B6:C6"/>
    <mergeCell ref="B16:C16"/>
    <mergeCell ref="B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8"/>
    <col collapsed="false" customWidth="true" hidden="false" outlineLevel="0" max="4" min="4" style="0" width="7"/>
    <col collapsed="false" customWidth="true" hidden="false" outlineLevel="0" max="5" min="5" style="0" width="14"/>
  </cols>
  <sheetData>
    <row r="1" customFormat="false" ht="36" hidden="false" customHeight="true" outlineLevel="0" collapsed="false">
      <c r="A1" s="6" t="s">
        <v>39</v>
      </c>
    </row>
    <row r="2" customFormat="false" ht="19.5" hidden="false" customHeight="true" outlineLevel="0" collapsed="false">
      <c r="A2" s="7" t="s">
        <v>40</v>
      </c>
    </row>
    <row r="4" customFormat="false" ht="15" hidden="false" customHeight="false" outlineLevel="0" collapsed="false">
      <c r="A4" s="8" t="s">
        <v>41</v>
      </c>
      <c r="B4" s="8" t="s">
        <v>42</v>
      </c>
      <c r="C4" s="8" t="s">
        <v>43</v>
      </c>
      <c r="D4" s="8" t="s">
        <v>44</v>
      </c>
      <c r="E4" s="8" t="s">
        <v>45</v>
      </c>
    </row>
    <row r="5" customFormat="false" ht="15" hidden="false" customHeight="false" outlineLevel="0" collapsed="false">
      <c r="A5" s="9" t="n">
        <v>1</v>
      </c>
      <c r="B5" s="10" t="s">
        <v>46</v>
      </c>
      <c r="C5" s="9" t="s">
        <v>47</v>
      </c>
      <c r="D5" s="9" t="s">
        <v>48</v>
      </c>
      <c r="E5" s="9" t="s">
        <v>49</v>
      </c>
    </row>
    <row r="6" customFormat="false" ht="15" hidden="false" customHeight="false" outlineLevel="0" collapsed="false">
      <c r="A6" s="11" t="n">
        <v>2</v>
      </c>
      <c r="B6" s="12" t="s">
        <v>50</v>
      </c>
      <c r="C6" s="11" t="s">
        <v>51</v>
      </c>
      <c r="D6" s="11" t="s">
        <v>48</v>
      </c>
      <c r="E6" s="11" t="s">
        <v>49</v>
      </c>
    </row>
    <row r="7" customFormat="false" ht="15" hidden="false" customHeight="false" outlineLevel="0" collapsed="false">
      <c r="A7" s="9" t="n">
        <v>3</v>
      </c>
      <c r="B7" s="10" t="s">
        <v>52</v>
      </c>
      <c r="C7" s="9" t="s">
        <v>53</v>
      </c>
      <c r="D7" s="9" t="s">
        <v>48</v>
      </c>
      <c r="E7" s="9" t="s">
        <v>49</v>
      </c>
    </row>
    <row r="8" customFormat="false" ht="15" hidden="false" customHeight="false" outlineLevel="0" collapsed="false">
      <c r="A8" s="11" t="n">
        <v>4</v>
      </c>
      <c r="B8" s="12" t="s">
        <v>54</v>
      </c>
      <c r="C8" s="11" t="s">
        <v>55</v>
      </c>
      <c r="D8" s="11" t="s">
        <v>48</v>
      </c>
      <c r="E8" s="11" t="s">
        <v>49</v>
      </c>
    </row>
    <row r="9" customFormat="false" ht="15" hidden="false" customHeight="false" outlineLevel="0" collapsed="false">
      <c r="A9" s="9" t="n">
        <v>5</v>
      </c>
      <c r="B9" s="10" t="s">
        <v>56</v>
      </c>
      <c r="C9" s="9" t="s">
        <v>57</v>
      </c>
      <c r="D9" s="9" t="s">
        <v>58</v>
      </c>
      <c r="E9" s="9" t="s">
        <v>49</v>
      </c>
    </row>
    <row r="10" customFormat="false" ht="15" hidden="false" customHeight="false" outlineLevel="0" collapsed="false">
      <c r="A10" s="11" t="n">
        <v>6</v>
      </c>
      <c r="B10" s="12" t="s">
        <v>59</v>
      </c>
      <c r="C10" s="11" t="s">
        <v>60</v>
      </c>
      <c r="D10" s="11" t="s">
        <v>58</v>
      </c>
      <c r="E10" s="11" t="s">
        <v>49</v>
      </c>
    </row>
    <row r="11" customFormat="false" ht="15" hidden="false" customHeight="false" outlineLevel="0" collapsed="false">
      <c r="A11" s="9" t="n">
        <v>7</v>
      </c>
      <c r="B11" s="10" t="s">
        <v>61</v>
      </c>
      <c r="C11" s="9" t="s">
        <v>62</v>
      </c>
      <c r="D11" s="9" t="s">
        <v>58</v>
      </c>
      <c r="E11" s="9" t="s">
        <v>49</v>
      </c>
    </row>
    <row r="12" customFormat="false" ht="15" hidden="false" customHeight="false" outlineLevel="0" collapsed="false">
      <c r="A12" s="11" t="n">
        <v>8</v>
      </c>
      <c r="B12" s="12" t="s">
        <v>63</v>
      </c>
      <c r="C12" s="11" t="s">
        <v>64</v>
      </c>
      <c r="D12" s="11" t="s">
        <v>58</v>
      </c>
      <c r="E12" s="11" t="s">
        <v>49</v>
      </c>
    </row>
    <row r="13" customFormat="false" ht="15" hidden="false" customHeight="false" outlineLevel="0" collapsed="false">
      <c r="A13" s="9" t="n">
        <v>9</v>
      </c>
      <c r="B13" s="10" t="s">
        <v>65</v>
      </c>
      <c r="C13" s="9" t="s">
        <v>66</v>
      </c>
      <c r="D13" s="9" t="s">
        <v>67</v>
      </c>
      <c r="E13" s="9" t="s">
        <v>68</v>
      </c>
    </row>
    <row r="14" customFormat="false" ht="15" hidden="false" customHeight="false" outlineLevel="0" collapsed="false">
      <c r="A14" s="11" t="n">
        <v>10</v>
      </c>
      <c r="B14" s="12" t="s">
        <v>69</v>
      </c>
      <c r="C14" s="11" t="s">
        <v>70</v>
      </c>
      <c r="D14" s="11" t="s">
        <v>67</v>
      </c>
      <c r="E14" s="11" t="s">
        <v>68</v>
      </c>
    </row>
    <row r="15" customFormat="false" ht="15" hidden="false" customHeight="false" outlineLevel="0" collapsed="false">
      <c r="A15" s="9" t="n">
        <v>11</v>
      </c>
      <c r="B15" s="10" t="s">
        <v>71</v>
      </c>
      <c r="C15" s="9" t="s">
        <v>72</v>
      </c>
      <c r="D15" s="9" t="s">
        <v>67</v>
      </c>
      <c r="E15" s="9" t="s">
        <v>68</v>
      </c>
    </row>
    <row r="16" customFormat="false" ht="15" hidden="false" customHeight="false" outlineLevel="0" collapsed="false">
      <c r="A16" s="11" t="n">
        <v>12</v>
      </c>
      <c r="B16" s="12" t="s">
        <v>73</v>
      </c>
      <c r="C16" s="11" t="s">
        <v>74</v>
      </c>
      <c r="D16" s="11" t="s">
        <v>67</v>
      </c>
      <c r="E16" s="11" t="s">
        <v>68</v>
      </c>
    </row>
    <row r="17" customFormat="false" ht="15" hidden="false" customHeight="false" outlineLevel="0" collapsed="false">
      <c r="A17" s="9" t="n">
        <v>13</v>
      </c>
      <c r="B17" s="10" t="s">
        <v>75</v>
      </c>
      <c r="C17" s="9" t="s">
        <v>76</v>
      </c>
      <c r="D17" s="9" t="s">
        <v>77</v>
      </c>
      <c r="E17" s="9" t="s">
        <v>68</v>
      </c>
    </row>
    <row r="18" customFormat="false" ht="15" hidden="false" customHeight="false" outlineLevel="0" collapsed="false">
      <c r="A18" s="11" t="n">
        <v>14</v>
      </c>
      <c r="B18" s="12" t="s">
        <v>78</v>
      </c>
      <c r="C18" s="11" t="s">
        <v>79</v>
      </c>
      <c r="D18" s="11" t="s">
        <v>77</v>
      </c>
      <c r="E18" s="11" t="s">
        <v>68</v>
      </c>
    </row>
    <row r="19" customFormat="false" ht="15" hidden="false" customHeight="false" outlineLevel="0" collapsed="false">
      <c r="A19" s="9" t="n">
        <v>15</v>
      </c>
      <c r="B19" s="10" t="s">
        <v>80</v>
      </c>
      <c r="C19" s="9" t="s">
        <v>81</v>
      </c>
      <c r="D19" s="9" t="s">
        <v>77</v>
      </c>
      <c r="E19" s="9" t="s">
        <v>68</v>
      </c>
    </row>
    <row r="20" customFormat="false" ht="15" hidden="false" customHeight="false" outlineLevel="0" collapsed="false">
      <c r="A20" s="11" t="n">
        <v>16</v>
      </c>
      <c r="B20" s="12" t="s">
        <v>82</v>
      </c>
      <c r="C20" s="11" t="s">
        <v>83</v>
      </c>
      <c r="D20" s="11" t="s">
        <v>77</v>
      </c>
      <c r="E20" s="11" t="s">
        <v>68</v>
      </c>
    </row>
    <row r="21" customFormat="false" ht="15" hidden="false" customHeight="false" outlineLevel="0" collapsed="false">
      <c r="A21" s="9" t="n">
        <v>17</v>
      </c>
      <c r="B21" s="10" t="s">
        <v>84</v>
      </c>
      <c r="C21" s="9" t="s">
        <v>85</v>
      </c>
      <c r="D21" s="9" t="s">
        <v>86</v>
      </c>
      <c r="E21" s="9" t="s">
        <v>87</v>
      </c>
    </row>
    <row r="22" customFormat="false" ht="15" hidden="false" customHeight="false" outlineLevel="0" collapsed="false">
      <c r="A22" s="11" t="n">
        <v>18</v>
      </c>
      <c r="B22" s="12" t="s">
        <v>88</v>
      </c>
      <c r="C22" s="11" t="s">
        <v>89</v>
      </c>
      <c r="D22" s="11" t="s">
        <v>86</v>
      </c>
      <c r="E22" s="11" t="s">
        <v>87</v>
      </c>
    </row>
    <row r="23" customFormat="false" ht="15" hidden="false" customHeight="false" outlineLevel="0" collapsed="false">
      <c r="A23" s="9" t="n">
        <v>19</v>
      </c>
      <c r="B23" s="10" t="s">
        <v>90</v>
      </c>
      <c r="C23" s="9" t="s">
        <v>91</v>
      </c>
      <c r="D23" s="9" t="s">
        <v>86</v>
      </c>
      <c r="E23" s="9" t="s">
        <v>87</v>
      </c>
    </row>
    <row r="24" customFormat="false" ht="15" hidden="false" customHeight="false" outlineLevel="0" collapsed="false">
      <c r="A24" s="11" t="n">
        <v>20</v>
      </c>
      <c r="B24" s="12" t="s">
        <v>92</v>
      </c>
      <c r="C24" s="11" t="s">
        <v>93</v>
      </c>
      <c r="D24" s="11" t="s">
        <v>86</v>
      </c>
      <c r="E24" s="11" t="s">
        <v>87</v>
      </c>
    </row>
    <row r="25" customFormat="false" ht="15" hidden="false" customHeight="false" outlineLevel="0" collapsed="false">
      <c r="A25" s="9" t="n">
        <v>21</v>
      </c>
      <c r="B25" s="10" t="s">
        <v>94</v>
      </c>
      <c r="C25" s="9" t="s">
        <v>95</v>
      </c>
      <c r="D25" s="9" t="s">
        <v>96</v>
      </c>
      <c r="E25" s="9" t="s">
        <v>87</v>
      </c>
    </row>
    <row r="26" customFormat="false" ht="15" hidden="false" customHeight="false" outlineLevel="0" collapsed="false">
      <c r="A26" s="11" t="n">
        <v>22</v>
      </c>
      <c r="B26" s="12" t="s">
        <v>97</v>
      </c>
      <c r="C26" s="11" t="s">
        <v>98</v>
      </c>
      <c r="D26" s="11" t="s">
        <v>96</v>
      </c>
      <c r="E26" s="11" t="s">
        <v>87</v>
      </c>
    </row>
    <row r="27" customFormat="false" ht="15" hidden="false" customHeight="false" outlineLevel="0" collapsed="false">
      <c r="A27" s="9" t="n">
        <v>23</v>
      </c>
      <c r="B27" s="10" t="s">
        <v>99</v>
      </c>
      <c r="C27" s="9" t="s">
        <v>100</v>
      </c>
      <c r="D27" s="9" t="s">
        <v>96</v>
      </c>
      <c r="E27" s="9" t="s">
        <v>87</v>
      </c>
    </row>
    <row r="28" customFormat="false" ht="15" hidden="false" customHeight="false" outlineLevel="0" collapsed="false">
      <c r="A28" s="11" t="n">
        <v>24</v>
      </c>
      <c r="B28" s="12" t="s">
        <v>101</v>
      </c>
      <c r="C28" s="11" t="s">
        <v>102</v>
      </c>
      <c r="D28" s="11" t="s">
        <v>96</v>
      </c>
      <c r="E28" s="11" t="s">
        <v>87</v>
      </c>
    </row>
    <row r="29" customFormat="false" ht="15" hidden="false" customHeight="false" outlineLevel="0" collapsed="false">
      <c r="A29" s="9" t="n">
        <v>25</v>
      </c>
      <c r="B29" s="10" t="s">
        <v>103</v>
      </c>
      <c r="C29" s="9" t="s">
        <v>104</v>
      </c>
      <c r="D29" s="9" t="s">
        <v>105</v>
      </c>
      <c r="E29" s="9" t="s">
        <v>87</v>
      </c>
    </row>
    <row r="30" customFormat="false" ht="15" hidden="false" customHeight="false" outlineLevel="0" collapsed="false">
      <c r="A30" s="11" t="n">
        <v>26</v>
      </c>
      <c r="B30" s="12" t="s">
        <v>106</v>
      </c>
      <c r="C30" s="11" t="s">
        <v>107</v>
      </c>
      <c r="D30" s="11" t="s">
        <v>105</v>
      </c>
      <c r="E30" s="11" t="s">
        <v>87</v>
      </c>
    </row>
    <row r="31" customFormat="false" ht="15" hidden="false" customHeight="false" outlineLevel="0" collapsed="false">
      <c r="A31" s="9" t="n">
        <v>27</v>
      </c>
      <c r="B31" s="10" t="s">
        <v>108</v>
      </c>
      <c r="C31" s="9" t="s">
        <v>109</v>
      </c>
      <c r="D31" s="9" t="s">
        <v>105</v>
      </c>
      <c r="E31" s="9" t="s">
        <v>87</v>
      </c>
    </row>
    <row r="32" customFormat="false" ht="15" hidden="false" customHeight="false" outlineLevel="0" collapsed="false">
      <c r="A32" s="11" t="n">
        <v>28</v>
      </c>
      <c r="B32" s="12" t="s">
        <v>110</v>
      </c>
      <c r="C32" s="11" t="s">
        <v>111</v>
      </c>
      <c r="D32" s="11" t="s">
        <v>105</v>
      </c>
      <c r="E32" s="11" t="s">
        <v>87</v>
      </c>
    </row>
    <row r="33" customFormat="false" ht="15" hidden="false" customHeight="false" outlineLevel="0" collapsed="false">
      <c r="A33" s="9" t="n">
        <v>29</v>
      </c>
      <c r="B33" s="10" t="s">
        <v>112</v>
      </c>
      <c r="C33" s="9" t="s">
        <v>113</v>
      </c>
      <c r="D33" s="9" t="s">
        <v>114</v>
      </c>
      <c r="E33" s="9" t="s">
        <v>87</v>
      </c>
    </row>
    <row r="34" customFormat="false" ht="15" hidden="false" customHeight="false" outlineLevel="0" collapsed="false">
      <c r="A34" s="11" t="n">
        <v>30</v>
      </c>
      <c r="B34" s="12" t="s">
        <v>115</v>
      </c>
      <c r="C34" s="11" t="s">
        <v>116</v>
      </c>
      <c r="D34" s="11" t="s">
        <v>114</v>
      </c>
      <c r="E34" s="11" t="s">
        <v>87</v>
      </c>
    </row>
    <row r="35" customFormat="false" ht="15" hidden="false" customHeight="false" outlineLevel="0" collapsed="false">
      <c r="A35" s="9" t="n">
        <v>31</v>
      </c>
      <c r="B35" s="10" t="s">
        <v>117</v>
      </c>
      <c r="C35" s="9" t="s">
        <v>118</v>
      </c>
      <c r="D35" s="9" t="s">
        <v>114</v>
      </c>
      <c r="E35" s="9" t="s">
        <v>87</v>
      </c>
    </row>
    <row r="36" customFormat="false" ht="15" hidden="false" customHeight="false" outlineLevel="0" collapsed="false">
      <c r="A36" s="11" t="n">
        <v>32</v>
      </c>
      <c r="B36" s="12" t="s">
        <v>119</v>
      </c>
      <c r="C36" s="11" t="s">
        <v>120</v>
      </c>
      <c r="D36" s="11" t="s">
        <v>114</v>
      </c>
      <c r="E36" s="11" t="s">
        <v>87</v>
      </c>
    </row>
    <row r="37" customFormat="false" ht="15" hidden="false" customHeight="false" outlineLevel="0" collapsed="false">
      <c r="A37" s="9" t="n">
        <v>33</v>
      </c>
      <c r="B37" s="10" t="s">
        <v>121</v>
      </c>
      <c r="C37" s="9" t="s">
        <v>122</v>
      </c>
      <c r="D37" s="9" t="s">
        <v>123</v>
      </c>
      <c r="E37" s="9" t="s">
        <v>124</v>
      </c>
    </row>
    <row r="38" customFormat="false" ht="15" hidden="false" customHeight="false" outlineLevel="0" collapsed="false">
      <c r="A38" s="11" t="n">
        <v>34</v>
      </c>
      <c r="B38" s="12" t="s">
        <v>125</v>
      </c>
      <c r="C38" s="11" t="s">
        <v>126</v>
      </c>
      <c r="D38" s="11" t="s">
        <v>123</v>
      </c>
      <c r="E38" s="11" t="s">
        <v>124</v>
      </c>
    </row>
    <row r="39" customFormat="false" ht="15" hidden="false" customHeight="false" outlineLevel="0" collapsed="false">
      <c r="A39" s="9" t="n">
        <v>35</v>
      </c>
      <c r="B39" s="10" t="s">
        <v>127</v>
      </c>
      <c r="C39" s="9" t="s">
        <v>128</v>
      </c>
      <c r="D39" s="9" t="s">
        <v>123</v>
      </c>
      <c r="E39" s="9" t="s">
        <v>124</v>
      </c>
    </row>
    <row r="40" customFormat="false" ht="15" hidden="false" customHeight="false" outlineLevel="0" collapsed="false">
      <c r="A40" s="11" t="n">
        <v>36</v>
      </c>
      <c r="B40" s="12" t="s">
        <v>129</v>
      </c>
      <c r="C40" s="11" t="s">
        <v>130</v>
      </c>
      <c r="D40" s="11" t="s">
        <v>123</v>
      </c>
      <c r="E40" s="11" t="s">
        <v>124</v>
      </c>
    </row>
    <row r="41" customFormat="false" ht="15" hidden="false" customHeight="false" outlineLevel="0" collapsed="false">
      <c r="A41" s="9" t="n">
        <v>37</v>
      </c>
      <c r="B41" s="10" t="s">
        <v>131</v>
      </c>
      <c r="C41" s="9" t="s">
        <v>132</v>
      </c>
      <c r="D41" s="9" t="s">
        <v>133</v>
      </c>
      <c r="E41" s="9" t="s">
        <v>124</v>
      </c>
    </row>
    <row r="42" customFormat="false" ht="15" hidden="false" customHeight="false" outlineLevel="0" collapsed="false">
      <c r="A42" s="11" t="n">
        <v>38</v>
      </c>
      <c r="B42" s="12" t="s">
        <v>134</v>
      </c>
      <c r="C42" s="11" t="s">
        <v>135</v>
      </c>
      <c r="D42" s="11" t="s">
        <v>133</v>
      </c>
      <c r="E42" s="11" t="s">
        <v>124</v>
      </c>
    </row>
    <row r="43" customFormat="false" ht="15" hidden="false" customHeight="false" outlineLevel="0" collapsed="false">
      <c r="A43" s="9" t="n">
        <v>39</v>
      </c>
      <c r="B43" s="10" t="s">
        <v>136</v>
      </c>
      <c r="C43" s="9" t="s">
        <v>137</v>
      </c>
      <c r="D43" s="9" t="s">
        <v>133</v>
      </c>
      <c r="E43" s="9" t="s">
        <v>124</v>
      </c>
    </row>
    <row r="44" customFormat="false" ht="15" hidden="false" customHeight="false" outlineLevel="0" collapsed="false">
      <c r="A44" s="11" t="n">
        <v>40</v>
      </c>
      <c r="B44" s="12" t="s">
        <v>138</v>
      </c>
      <c r="C44" s="11" t="s">
        <v>139</v>
      </c>
      <c r="D44" s="11" t="s">
        <v>133</v>
      </c>
      <c r="E44" s="11" t="s">
        <v>124</v>
      </c>
    </row>
    <row r="45" customFormat="false" ht="15" hidden="false" customHeight="false" outlineLevel="0" collapsed="false">
      <c r="A45" s="9" t="n">
        <v>41</v>
      </c>
      <c r="B45" s="10" t="s">
        <v>140</v>
      </c>
      <c r="C45" s="9" t="s">
        <v>141</v>
      </c>
      <c r="D45" s="9" t="s">
        <v>142</v>
      </c>
      <c r="E45" s="9" t="s">
        <v>143</v>
      </c>
    </row>
    <row r="46" customFormat="false" ht="15" hidden="false" customHeight="false" outlineLevel="0" collapsed="false">
      <c r="A46" s="11" t="n">
        <v>42</v>
      </c>
      <c r="B46" s="12" t="s">
        <v>144</v>
      </c>
      <c r="C46" s="11" t="s">
        <v>145</v>
      </c>
      <c r="D46" s="11" t="s">
        <v>142</v>
      </c>
      <c r="E46" s="11" t="s">
        <v>143</v>
      </c>
    </row>
    <row r="47" customFormat="false" ht="15" hidden="false" customHeight="false" outlineLevel="0" collapsed="false">
      <c r="A47" s="9" t="n">
        <v>43</v>
      </c>
      <c r="B47" s="10" t="s">
        <v>146</v>
      </c>
      <c r="C47" s="9" t="s">
        <v>147</v>
      </c>
      <c r="D47" s="9" t="s">
        <v>142</v>
      </c>
      <c r="E47" s="9" t="s">
        <v>143</v>
      </c>
    </row>
    <row r="48" customFormat="false" ht="15" hidden="false" customHeight="false" outlineLevel="0" collapsed="false">
      <c r="A48" s="11" t="n">
        <v>44</v>
      </c>
      <c r="B48" s="12" t="s">
        <v>148</v>
      </c>
      <c r="C48" s="11" t="s">
        <v>149</v>
      </c>
      <c r="D48" s="11" t="s">
        <v>142</v>
      </c>
      <c r="E48" s="11" t="s">
        <v>143</v>
      </c>
    </row>
    <row r="49" customFormat="false" ht="15" hidden="false" customHeight="false" outlineLevel="0" collapsed="false">
      <c r="A49" s="9" t="n">
        <v>45</v>
      </c>
      <c r="B49" s="10" t="s">
        <v>150</v>
      </c>
      <c r="C49" s="9" t="s">
        <v>151</v>
      </c>
      <c r="D49" s="9" t="s">
        <v>152</v>
      </c>
      <c r="E49" s="9" t="s">
        <v>143</v>
      </c>
    </row>
    <row r="50" customFormat="false" ht="15" hidden="false" customHeight="false" outlineLevel="0" collapsed="false">
      <c r="A50" s="11" t="n">
        <v>46</v>
      </c>
      <c r="B50" s="12" t="s">
        <v>153</v>
      </c>
      <c r="C50" s="11" t="s">
        <v>154</v>
      </c>
      <c r="D50" s="11" t="s">
        <v>152</v>
      </c>
      <c r="E50" s="11" t="s">
        <v>143</v>
      </c>
    </row>
    <row r="51" customFormat="false" ht="15" hidden="false" customHeight="false" outlineLevel="0" collapsed="false">
      <c r="A51" s="9" t="n">
        <v>47</v>
      </c>
      <c r="B51" s="10" t="s">
        <v>155</v>
      </c>
      <c r="C51" s="9" t="s">
        <v>156</v>
      </c>
      <c r="D51" s="9" t="s">
        <v>152</v>
      </c>
      <c r="E51" s="9" t="s">
        <v>143</v>
      </c>
    </row>
    <row r="52" customFormat="false" ht="15" hidden="false" customHeight="false" outlineLevel="0" collapsed="false">
      <c r="A52" s="11" t="n">
        <v>48</v>
      </c>
      <c r="B52" s="12" t="s">
        <v>157</v>
      </c>
      <c r="C52" s="11" t="s">
        <v>158</v>
      </c>
      <c r="D52" s="11" t="s">
        <v>152</v>
      </c>
      <c r="E52" s="11" t="s">
        <v>159</v>
      </c>
    </row>
  </sheetData>
  <sheetProtection sheet="true" password="c7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8"/>
  </cols>
  <sheetData>
    <row r="1" customFormat="false" ht="36" hidden="false" customHeight="true" outlineLevel="0" collapsed="false">
      <c r="A1" s="6" t="s">
        <v>160</v>
      </c>
    </row>
    <row r="2" customFormat="false" ht="19.5" hidden="false" customHeight="true" outlineLevel="0" collapsed="false">
      <c r="A2" s="7" t="s">
        <v>161</v>
      </c>
    </row>
    <row r="4" customFormat="false" ht="15" hidden="false" customHeight="false" outlineLevel="0" collapsed="false">
      <c r="A4" s="8" t="s">
        <v>41</v>
      </c>
      <c r="B4" s="8" t="s">
        <v>162</v>
      </c>
      <c r="C4" s="8" t="s">
        <v>163</v>
      </c>
      <c r="D4" s="8" t="s">
        <v>164</v>
      </c>
      <c r="E4" s="8" t="s">
        <v>165</v>
      </c>
    </row>
    <row r="5" customFormat="false" ht="15" hidden="false" customHeight="false" outlineLevel="0" collapsed="false">
      <c r="A5" s="9" t="n">
        <v>1</v>
      </c>
      <c r="B5" s="10" t="s">
        <v>166</v>
      </c>
      <c r="C5" s="13" t="n">
        <v>3</v>
      </c>
      <c r="D5" s="13" t="n">
        <v>1</v>
      </c>
      <c r="E5" s="9" t="n">
        <v>1</v>
      </c>
    </row>
    <row r="6" customFormat="false" ht="15" hidden="false" customHeight="false" outlineLevel="0" collapsed="false">
      <c r="A6" s="11" t="n">
        <v>2</v>
      </c>
      <c r="B6" s="12" t="s">
        <v>167</v>
      </c>
      <c r="C6" s="14" t="n">
        <v>6</v>
      </c>
      <c r="D6" s="14" t="n">
        <v>2</v>
      </c>
      <c r="E6" s="11" t="n">
        <v>2</v>
      </c>
    </row>
    <row r="7" customFormat="false" ht="15" hidden="false" customHeight="false" outlineLevel="0" collapsed="false">
      <c r="A7" s="9" t="n">
        <v>3</v>
      </c>
      <c r="B7" s="10" t="s">
        <v>168</v>
      </c>
      <c r="C7" s="13" t="n">
        <v>9</v>
      </c>
      <c r="D7" s="13" t="n">
        <v>3</v>
      </c>
      <c r="E7" s="9" t="n">
        <v>3</v>
      </c>
    </row>
    <row r="8" customFormat="false" ht="15" hidden="false" customHeight="false" outlineLevel="0" collapsed="false">
      <c r="A8" s="11" t="n">
        <v>4</v>
      </c>
      <c r="B8" s="12" t="s">
        <v>169</v>
      </c>
      <c r="C8" s="14" t="n">
        <v>12</v>
      </c>
      <c r="D8" s="14" t="n">
        <v>4</v>
      </c>
      <c r="E8" s="11" t="n">
        <v>4</v>
      </c>
    </row>
    <row r="9" customFormat="false" ht="15" hidden="false" customHeight="false" outlineLevel="0" collapsed="false">
      <c r="A9" s="9" t="n">
        <v>5</v>
      </c>
      <c r="B9" s="10" t="s">
        <v>170</v>
      </c>
      <c r="C9" s="13" t="n">
        <v>15</v>
      </c>
      <c r="D9" s="13" t="n">
        <v>5</v>
      </c>
      <c r="E9" s="9" t="n">
        <v>5</v>
      </c>
    </row>
    <row r="10" customFormat="false" ht="15" hidden="false" customHeight="false" outlineLevel="0" collapsed="false">
      <c r="A10" s="11" t="n">
        <v>6</v>
      </c>
      <c r="B10" s="12" t="s">
        <v>171</v>
      </c>
      <c r="C10" s="14" t="n">
        <v>18</v>
      </c>
      <c r="D10" s="14" t="n">
        <v>6</v>
      </c>
      <c r="E10" s="11" t="n">
        <v>6</v>
      </c>
    </row>
  </sheetData>
  <sheetProtection sheet="true" password="c7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4441"/>
    <pageSetUpPr fitToPage="false"/>
  </sheetPr>
  <dimension ref="A1:K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6" min="5" style="0" width="20"/>
    <col collapsed="false" customWidth="true" hidden="false" outlineLevel="0" max="7" min="7" style="0" width="18"/>
    <col collapsed="false" customWidth="true" hidden="false" outlineLevel="0" max="8" min="8" style="0" width="28"/>
    <col collapsed="false" customWidth="true" hidden="false" outlineLevel="0" max="10" min="9" style="0" width="8"/>
    <col collapsed="false" customWidth="true" hidden="false" outlineLevel="0" max="11" min="11" style="0" width="12"/>
  </cols>
  <sheetData>
    <row r="1" customFormat="false" ht="36" hidden="false" customHeight="true" outlineLevel="0" collapsed="false">
      <c r="A1" s="6" t="s">
        <v>172</v>
      </c>
    </row>
    <row r="2" customFormat="false" ht="19.5" hidden="false" customHeight="true" outlineLevel="0" collapsed="false">
      <c r="A2" s="7" t="s">
        <v>173</v>
      </c>
    </row>
    <row r="4" customFormat="false" ht="15" hidden="false" customHeight="false" outlineLevel="0" collapsed="false">
      <c r="A4" s="15" t="s">
        <v>41</v>
      </c>
      <c r="B4" s="15" t="s">
        <v>162</v>
      </c>
      <c r="C4" s="15" t="s">
        <v>174</v>
      </c>
      <c r="D4" s="15" t="s">
        <v>175</v>
      </c>
      <c r="E4" s="15" t="s">
        <v>176</v>
      </c>
      <c r="F4" s="15" t="s">
        <v>177</v>
      </c>
      <c r="G4" s="15" t="s">
        <v>178</v>
      </c>
      <c r="H4" s="15" t="s">
        <v>179</v>
      </c>
      <c r="I4" s="15" t="s">
        <v>180</v>
      </c>
      <c r="J4" s="15" t="s">
        <v>181</v>
      </c>
      <c r="K4" s="15" t="s">
        <v>182</v>
      </c>
    </row>
    <row r="5" customFormat="false" ht="15" hidden="false" customHeight="false" outlineLevel="0" collapsed="false">
      <c r="A5" s="9" t="n">
        <v>1</v>
      </c>
      <c r="B5" s="9" t="n">
        <v>1</v>
      </c>
      <c r="C5" s="9" t="n">
        <v>1</v>
      </c>
      <c r="D5" s="9" t="n">
        <v>2</v>
      </c>
      <c r="E5" s="10" t="str">
        <f aca="false">IFERROR(INDEX(Equipos!$B$5:$B$52,MATCH(C5,Equipos!$A$5:$A$52,0)),"")</f>
        <v>Argentina</v>
      </c>
      <c r="F5" s="10" t="str">
        <f aca="false">IFERROR(INDEX(Equipos!$B$5:$B$52,MATCH(D5,Equipos!$A$5:$A$52,0)),"")</f>
        <v>Bolivia</v>
      </c>
      <c r="G5" s="16" t="n">
        <v>46184.625</v>
      </c>
      <c r="H5" s="9" t="s">
        <v>183</v>
      </c>
      <c r="I5" s="9"/>
      <c r="J5" s="9"/>
      <c r="K5" s="9" t="s">
        <v>184</v>
      </c>
    </row>
    <row r="6" customFormat="false" ht="15" hidden="false" customHeight="false" outlineLevel="0" collapsed="false">
      <c r="A6" s="11" t="n">
        <v>2</v>
      </c>
      <c r="B6" s="11" t="n">
        <v>1</v>
      </c>
      <c r="C6" s="11" t="n">
        <v>1</v>
      </c>
      <c r="D6" s="11" t="n">
        <v>3</v>
      </c>
      <c r="E6" s="12" t="str">
        <f aca="false">IFERROR(INDEX(Equipos!$B$5:$B$52,MATCH(C6,Equipos!$A$5:$A$52,0)),"")</f>
        <v>Argentina</v>
      </c>
      <c r="F6" s="12" t="str">
        <f aca="false">IFERROR(INDEX(Equipos!$B$5:$B$52,MATCH(D6,Equipos!$A$5:$A$52,0)),"")</f>
        <v>Ecuador</v>
      </c>
      <c r="G6" s="17" t="n">
        <v>46184.75</v>
      </c>
      <c r="H6" s="11" t="s">
        <v>183</v>
      </c>
      <c r="I6" s="11"/>
      <c r="J6" s="11"/>
      <c r="K6" s="11" t="s">
        <v>184</v>
      </c>
    </row>
    <row r="7" customFormat="false" ht="15" hidden="false" customHeight="false" outlineLevel="0" collapsed="false">
      <c r="A7" s="9" t="n">
        <v>3</v>
      </c>
      <c r="B7" s="9" t="n">
        <v>1</v>
      </c>
      <c r="C7" s="9" t="n">
        <v>1</v>
      </c>
      <c r="D7" s="9" t="n">
        <v>4</v>
      </c>
      <c r="E7" s="10" t="str">
        <f aca="false">IFERROR(INDEX(Equipos!$B$5:$B$52,MATCH(C7,Equipos!$A$5:$A$52,0)),"")</f>
        <v>Argentina</v>
      </c>
      <c r="F7" s="10" t="str">
        <f aca="false">IFERROR(INDEX(Equipos!$B$5:$B$52,MATCH(D7,Equipos!$A$5:$A$52,0)),"")</f>
        <v>Uruguay</v>
      </c>
      <c r="G7" s="16" t="n">
        <v>46184.875</v>
      </c>
      <c r="H7" s="9" t="s">
        <v>183</v>
      </c>
      <c r="I7" s="9"/>
      <c r="J7" s="9"/>
      <c r="K7" s="9" t="s">
        <v>184</v>
      </c>
    </row>
    <row r="8" customFormat="false" ht="15" hidden="false" customHeight="false" outlineLevel="0" collapsed="false">
      <c r="A8" s="11" t="n">
        <v>4</v>
      </c>
      <c r="B8" s="11" t="n">
        <v>1</v>
      </c>
      <c r="C8" s="11" t="n">
        <v>2</v>
      </c>
      <c r="D8" s="11" t="n">
        <v>3</v>
      </c>
      <c r="E8" s="12" t="str">
        <f aca="false">IFERROR(INDEX(Equipos!$B$5:$B$52,MATCH(C8,Equipos!$A$5:$A$52,0)),"")</f>
        <v>Bolivia</v>
      </c>
      <c r="F8" s="12" t="str">
        <f aca="false">IFERROR(INDEX(Equipos!$B$5:$B$52,MATCH(D8,Equipos!$A$5:$A$52,0)),"")</f>
        <v>Ecuador</v>
      </c>
      <c r="G8" s="17" t="n">
        <v>46185</v>
      </c>
      <c r="H8" s="11" t="s">
        <v>183</v>
      </c>
      <c r="I8" s="11"/>
      <c r="J8" s="11"/>
      <c r="K8" s="11" t="s">
        <v>184</v>
      </c>
    </row>
    <row r="9" customFormat="false" ht="15" hidden="false" customHeight="false" outlineLevel="0" collapsed="false">
      <c r="A9" s="9" t="n">
        <v>5</v>
      </c>
      <c r="B9" s="9" t="n">
        <v>1</v>
      </c>
      <c r="C9" s="9" t="n">
        <v>2</v>
      </c>
      <c r="D9" s="9" t="n">
        <v>4</v>
      </c>
      <c r="E9" s="10" t="str">
        <f aca="false">IFERROR(INDEX(Equipos!$B$5:$B$52,MATCH(C9,Equipos!$A$5:$A$52,0)),"")</f>
        <v>Bolivia</v>
      </c>
      <c r="F9" s="10" t="str">
        <f aca="false">IFERROR(INDEX(Equipos!$B$5:$B$52,MATCH(D9,Equipos!$A$5:$A$52,0)),"")</f>
        <v>Uruguay</v>
      </c>
      <c r="G9" s="16" t="n">
        <v>46185.625</v>
      </c>
      <c r="H9" s="9" t="s">
        <v>183</v>
      </c>
      <c r="I9" s="9"/>
      <c r="J9" s="9"/>
      <c r="K9" s="9" t="s">
        <v>184</v>
      </c>
    </row>
    <row r="10" customFormat="false" ht="15" hidden="false" customHeight="false" outlineLevel="0" collapsed="false">
      <c r="A10" s="11" t="n">
        <v>6</v>
      </c>
      <c r="B10" s="11" t="n">
        <v>1</v>
      </c>
      <c r="C10" s="11" t="n">
        <v>3</v>
      </c>
      <c r="D10" s="11" t="n">
        <v>4</v>
      </c>
      <c r="E10" s="12" t="str">
        <f aca="false">IFERROR(INDEX(Equipos!$B$5:$B$52,MATCH(C10,Equipos!$A$5:$A$52,0)),"")</f>
        <v>Ecuador</v>
      </c>
      <c r="F10" s="12" t="str">
        <f aca="false">IFERROR(INDEX(Equipos!$B$5:$B$52,MATCH(D10,Equipos!$A$5:$A$52,0)),"")</f>
        <v>Uruguay</v>
      </c>
      <c r="G10" s="17" t="n">
        <v>46185.75</v>
      </c>
      <c r="H10" s="11" t="s">
        <v>183</v>
      </c>
      <c r="I10" s="11"/>
      <c r="J10" s="11"/>
      <c r="K10" s="11" t="s">
        <v>184</v>
      </c>
    </row>
    <row r="11" customFormat="false" ht="15" hidden="false" customHeight="false" outlineLevel="0" collapsed="false">
      <c r="A11" s="9" t="n">
        <v>7</v>
      </c>
      <c r="B11" s="9" t="n">
        <v>1</v>
      </c>
      <c r="C11" s="9" t="n">
        <v>5</v>
      </c>
      <c r="D11" s="9" t="n">
        <v>6</v>
      </c>
      <c r="E11" s="10" t="str">
        <f aca="false">IFERROR(INDEX(Equipos!$B$5:$B$52,MATCH(C11,Equipos!$A$5:$A$52,0)),"")</f>
        <v>Brasil</v>
      </c>
      <c r="F11" s="10" t="str">
        <f aca="false">IFERROR(INDEX(Equipos!$B$5:$B$52,MATCH(D11,Equipos!$A$5:$A$52,0)),"")</f>
        <v>Colombia</v>
      </c>
      <c r="G11" s="16" t="n">
        <v>46186.625</v>
      </c>
      <c r="H11" s="9" t="s">
        <v>185</v>
      </c>
      <c r="I11" s="9"/>
      <c r="J11" s="9"/>
      <c r="K11" s="9" t="s">
        <v>184</v>
      </c>
    </row>
    <row r="12" customFormat="false" ht="15" hidden="false" customHeight="false" outlineLevel="0" collapsed="false">
      <c r="A12" s="11" t="n">
        <v>8</v>
      </c>
      <c r="B12" s="11" t="n">
        <v>1</v>
      </c>
      <c r="C12" s="11" t="n">
        <v>5</v>
      </c>
      <c r="D12" s="11" t="n">
        <v>7</v>
      </c>
      <c r="E12" s="12" t="str">
        <f aca="false">IFERROR(INDEX(Equipos!$B$5:$B$52,MATCH(C12,Equipos!$A$5:$A$52,0)),"")</f>
        <v>Brasil</v>
      </c>
      <c r="F12" s="12" t="str">
        <f aca="false">IFERROR(INDEX(Equipos!$B$5:$B$52,MATCH(D12,Equipos!$A$5:$A$52,0)),"")</f>
        <v>Venezuela</v>
      </c>
      <c r="G12" s="17" t="n">
        <v>46186.75</v>
      </c>
      <c r="H12" s="11" t="s">
        <v>185</v>
      </c>
      <c r="I12" s="11"/>
      <c r="J12" s="11"/>
      <c r="K12" s="11" t="s">
        <v>184</v>
      </c>
    </row>
    <row r="13" customFormat="false" ht="15" hidden="false" customHeight="false" outlineLevel="0" collapsed="false">
      <c r="A13" s="9" t="n">
        <v>9</v>
      </c>
      <c r="B13" s="9" t="n">
        <v>1</v>
      </c>
      <c r="C13" s="9" t="n">
        <v>5</v>
      </c>
      <c r="D13" s="9" t="n">
        <v>8</v>
      </c>
      <c r="E13" s="10" t="str">
        <f aca="false">IFERROR(INDEX(Equipos!$B$5:$B$52,MATCH(C13,Equipos!$A$5:$A$52,0)),"")</f>
        <v>Brasil</v>
      </c>
      <c r="F13" s="10" t="str">
        <f aca="false">IFERROR(INDEX(Equipos!$B$5:$B$52,MATCH(D13,Equipos!$A$5:$A$52,0)),"")</f>
        <v>Paraguay</v>
      </c>
      <c r="G13" s="16" t="n">
        <v>46186.875</v>
      </c>
      <c r="H13" s="9" t="s">
        <v>185</v>
      </c>
      <c r="I13" s="9"/>
      <c r="J13" s="9"/>
      <c r="K13" s="9" t="s">
        <v>184</v>
      </c>
    </row>
    <row r="14" customFormat="false" ht="15" hidden="false" customHeight="false" outlineLevel="0" collapsed="false">
      <c r="A14" s="11" t="n">
        <v>10</v>
      </c>
      <c r="B14" s="11" t="n">
        <v>1</v>
      </c>
      <c r="C14" s="11" t="n">
        <v>6</v>
      </c>
      <c r="D14" s="11" t="n">
        <v>7</v>
      </c>
      <c r="E14" s="12" t="str">
        <f aca="false">IFERROR(INDEX(Equipos!$B$5:$B$52,MATCH(C14,Equipos!$A$5:$A$52,0)),"")</f>
        <v>Colombia</v>
      </c>
      <c r="F14" s="12" t="str">
        <f aca="false">IFERROR(INDEX(Equipos!$B$5:$B$52,MATCH(D14,Equipos!$A$5:$A$52,0)),"")</f>
        <v>Venezuela</v>
      </c>
      <c r="G14" s="17" t="n">
        <v>46187</v>
      </c>
      <c r="H14" s="11" t="s">
        <v>185</v>
      </c>
      <c r="I14" s="11"/>
      <c r="J14" s="11"/>
      <c r="K14" s="11" t="s">
        <v>184</v>
      </c>
    </row>
    <row r="15" customFormat="false" ht="15" hidden="false" customHeight="false" outlineLevel="0" collapsed="false">
      <c r="A15" s="9" t="n">
        <v>11</v>
      </c>
      <c r="B15" s="9" t="n">
        <v>1</v>
      </c>
      <c r="C15" s="9" t="n">
        <v>6</v>
      </c>
      <c r="D15" s="9" t="n">
        <v>8</v>
      </c>
      <c r="E15" s="10" t="str">
        <f aca="false">IFERROR(INDEX(Equipos!$B$5:$B$52,MATCH(C15,Equipos!$A$5:$A$52,0)),"")</f>
        <v>Colombia</v>
      </c>
      <c r="F15" s="10" t="str">
        <f aca="false">IFERROR(INDEX(Equipos!$B$5:$B$52,MATCH(D15,Equipos!$A$5:$A$52,0)),"")</f>
        <v>Paraguay</v>
      </c>
      <c r="G15" s="16" t="n">
        <v>46187.625</v>
      </c>
      <c r="H15" s="9" t="s">
        <v>185</v>
      </c>
      <c r="I15" s="9"/>
      <c r="J15" s="9"/>
      <c r="K15" s="9" t="s">
        <v>184</v>
      </c>
    </row>
    <row r="16" customFormat="false" ht="15" hidden="false" customHeight="false" outlineLevel="0" collapsed="false">
      <c r="A16" s="11" t="n">
        <v>12</v>
      </c>
      <c r="B16" s="11" t="n">
        <v>1</v>
      </c>
      <c r="C16" s="11" t="n">
        <v>7</v>
      </c>
      <c r="D16" s="11" t="n">
        <v>8</v>
      </c>
      <c r="E16" s="12" t="str">
        <f aca="false">IFERROR(INDEX(Equipos!$B$5:$B$52,MATCH(C16,Equipos!$A$5:$A$52,0)),"")</f>
        <v>Venezuela</v>
      </c>
      <c r="F16" s="12" t="str">
        <f aca="false">IFERROR(INDEX(Equipos!$B$5:$B$52,MATCH(D16,Equipos!$A$5:$A$52,0)),"")</f>
        <v>Paraguay</v>
      </c>
      <c r="G16" s="17" t="n">
        <v>46187.75</v>
      </c>
      <c r="H16" s="11" t="s">
        <v>185</v>
      </c>
      <c r="I16" s="11"/>
      <c r="J16" s="11"/>
      <c r="K16" s="11" t="s">
        <v>184</v>
      </c>
    </row>
    <row r="17" customFormat="false" ht="15" hidden="false" customHeight="false" outlineLevel="0" collapsed="false">
      <c r="A17" s="9" t="n">
        <v>13</v>
      </c>
      <c r="B17" s="9" t="n">
        <v>1</v>
      </c>
      <c r="C17" s="9" t="n">
        <v>9</v>
      </c>
      <c r="D17" s="9" t="n">
        <v>10</v>
      </c>
      <c r="E17" s="10" t="str">
        <f aca="false">IFERROR(INDEX(Equipos!$B$5:$B$52,MATCH(C17,Equipos!$A$5:$A$52,0)),"")</f>
        <v>México</v>
      </c>
      <c r="F17" s="10" t="str">
        <f aca="false">IFERROR(INDEX(Equipos!$B$5:$B$52,MATCH(D17,Equipos!$A$5:$A$52,0)),"")</f>
        <v>Estados Unidos</v>
      </c>
      <c r="G17" s="16" t="n">
        <v>46188.625</v>
      </c>
      <c r="H17" s="9" t="s">
        <v>186</v>
      </c>
      <c r="I17" s="9"/>
      <c r="J17" s="9"/>
      <c r="K17" s="9" t="s">
        <v>184</v>
      </c>
    </row>
    <row r="18" customFormat="false" ht="15" hidden="false" customHeight="false" outlineLevel="0" collapsed="false">
      <c r="A18" s="11" t="n">
        <v>14</v>
      </c>
      <c r="B18" s="11" t="n">
        <v>1</v>
      </c>
      <c r="C18" s="11" t="n">
        <v>9</v>
      </c>
      <c r="D18" s="11" t="n">
        <v>11</v>
      </c>
      <c r="E18" s="12" t="str">
        <f aca="false">IFERROR(INDEX(Equipos!$B$5:$B$52,MATCH(C18,Equipos!$A$5:$A$52,0)),"")</f>
        <v>México</v>
      </c>
      <c r="F18" s="12" t="str">
        <f aca="false">IFERROR(INDEX(Equipos!$B$5:$B$52,MATCH(D18,Equipos!$A$5:$A$52,0)),"")</f>
        <v>Canadá</v>
      </c>
      <c r="G18" s="17" t="n">
        <v>46188.75</v>
      </c>
      <c r="H18" s="11" t="s">
        <v>186</v>
      </c>
      <c r="I18" s="11"/>
      <c r="J18" s="11"/>
      <c r="K18" s="11" t="s">
        <v>184</v>
      </c>
    </row>
    <row r="19" customFormat="false" ht="15" hidden="false" customHeight="false" outlineLevel="0" collapsed="false">
      <c r="A19" s="9" t="n">
        <v>15</v>
      </c>
      <c r="B19" s="9" t="n">
        <v>1</v>
      </c>
      <c r="C19" s="9" t="n">
        <v>9</v>
      </c>
      <c r="D19" s="9" t="n">
        <v>12</v>
      </c>
      <c r="E19" s="10" t="str">
        <f aca="false">IFERROR(INDEX(Equipos!$B$5:$B$52,MATCH(C19,Equipos!$A$5:$A$52,0)),"")</f>
        <v>México</v>
      </c>
      <c r="F19" s="10" t="str">
        <f aca="false">IFERROR(INDEX(Equipos!$B$5:$B$52,MATCH(D19,Equipos!$A$5:$A$52,0)),"")</f>
        <v>Costa Rica</v>
      </c>
      <c r="G19" s="16" t="n">
        <v>46188.875</v>
      </c>
      <c r="H19" s="9" t="s">
        <v>186</v>
      </c>
      <c r="I19" s="9"/>
      <c r="J19" s="9"/>
      <c r="K19" s="9" t="s">
        <v>184</v>
      </c>
    </row>
    <row r="20" customFormat="false" ht="15" hidden="false" customHeight="false" outlineLevel="0" collapsed="false">
      <c r="A20" s="11" t="n">
        <v>16</v>
      </c>
      <c r="B20" s="11" t="n">
        <v>1</v>
      </c>
      <c r="C20" s="11" t="n">
        <v>10</v>
      </c>
      <c r="D20" s="11" t="n">
        <v>11</v>
      </c>
      <c r="E20" s="12" t="str">
        <f aca="false">IFERROR(INDEX(Equipos!$B$5:$B$52,MATCH(C20,Equipos!$A$5:$A$52,0)),"")</f>
        <v>Estados Unidos</v>
      </c>
      <c r="F20" s="12" t="str">
        <f aca="false">IFERROR(INDEX(Equipos!$B$5:$B$52,MATCH(D20,Equipos!$A$5:$A$52,0)),"")</f>
        <v>Canadá</v>
      </c>
      <c r="G20" s="17" t="n">
        <v>46189</v>
      </c>
      <c r="H20" s="11" t="s">
        <v>186</v>
      </c>
      <c r="I20" s="11"/>
      <c r="J20" s="11"/>
      <c r="K20" s="11" t="s">
        <v>184</v>
      </c>
    </row>
    <row r="21" customFormat="false" ht="15" hidden="false" customHeight="false" outlineLevel="0" collapsed="false">
      <c r="A21" s="9" t="n">
        <v>17</v>
      </c>
      <c r="B21" s="9" t="n">
        <v>1</v>
      </c>
      <c r="C21" s="9" t="n">
        <v>10</v>
      </c>
      <c r="D21" s="9" t="n">
        <v>12</v>
      </c>
      <c r="E21" s="10" t="str">
        <f aca="false">IFERROR(INDEX(Equipos!$B$5:$B$52,MATCH(C21,Equipos!$A$5:$A$52,0)),"")</f>
        <v>Estados Unidos</v>
      </c>
      <c r="F21" s="10" t="str">
        <f aca="false">IFERROR(INDEX(Equipos!$B$5:$B$52,MATCH(D21,Equipos!$A$5:$A$52,0)),"")</f>
        <v>Costa Rica</v>
      </c>
      <c r="G21" s="16" t="n">
        <v>46189.625</v>
      </c>
      <c r="H21" s="9" t="s">
        <v>186</v>
      </c>
      <c r="I21" s="9"/>
      <c r="J21" s="9"/>
      <c r="K21" s="9" t="s">
        <v>184</v>
      </c>
    </row>
    <row r="22" customFormat="false" ht="15" hidden="false" customHeight="false" outlineLevel="0" collapsed="false">
      <c r="A22" s="11" t="n">
        <v>18</v>
      </c>
      <c r="B22" s="11" t="n">
        <v>1</v>
      </c>
      <c r="C22" s="11" t="n">
        <v>11</v>
      </c>
      <c r="D22" s="11" t="n">
        <v>12</v>
      </c>
      <c r="E22" s="12" t="str">
        <f aca="false">IFERROR(INDEX(Equipos!$B$5:$B$52,MATCH(C22,Equipos!$A$5:$A$52,0)),"")</f>
        <v>Canadá</v>
      </c>
      <c r="F22" s="12" t="str">
        <f aca="false">IFERROR(INDEX(Equipos!$B$5:$B$52,MATCH(D22,Equipos!$A$5:$A$52,0)),"")</f>
        <v>Costa Rica</v>
      </c>
      <c r="G22" s="17" t="n">
        <v>46189.75</v>
      </c>
      <c r="H22" s="11" t="s">
        <v>186</v>
      </c>
      <c r="I22" s="11"/>
      <c r="J22" s="11"/>
      <c r="K22" s="11" t="s">
        <v>184</v>
      </c>
    </row>
    <row r="23" customFormat="false" ht="15" hidden="false" customHeight="false" outlineLevel="0" collapsed="false">
      <c r="A23" s="9" t="n">
        <v>19</v>
      </c>
      <c r="B23" s="9" t="n">
        <v>1</v>
      </c>
      <c r="C23" s="9" t="n">
        <v>13</v>
      </c>
      <c r="D23" s="9" t="n">
        <v>14</v>
      </c>
      <c r="E23" s="10" t="str">
        <f aca="false">IFERROR(INDEX(Equipos!$B$5:$B$52,MATCH(C23,Equipos!$A$5:$A$52,0)),"")</f>
        <v>Panamá</v>
      </c>
      <c r="F23" s="10" t="str">
        <f aca="false">IFERROR(INDEX(Equipos!$B$5:$B$52,MATCH(D23,Equipos!$A$5:$A$52,0)),"")</f>
        <v>Honduras</v>
      </c>
      <c r="G23" s="16" t="n">
        <v>46190.625</v>
      </c>
      <c r="H23" s="9" t="s">
        <v>187</v>
      </c>
      <c r="I23" s="9"/>
      <c r="J23" s="9"/>
      <c r="K23" s="9" t="s">
        <v>184</v>
      </c>
    </row>
    <row r="24" customFormat="false" ht="15" hidden="false" customHeight="false" outlineLevel="0" collapsed="false">
      <c r="A24" s="11" t="n">
        <v>20</v>
      </c>
      <c r="B24" s="11" t="n">
        <v>1</v>
      </c>
      <c r="C24" s="11" t="n">
        <v>13</v>
      </c>
      <c r="D24" s="11" t="n">
        <v>15</v>
      </c>
      <c r="E24" s="12" t="str">
        <f aca="false">IFERROR(INDEX(Equipos!$B$5:$B$52,MATCH(C24,Equipos!$A$5:$A$52,0)),"")</f>
        <v>Panamá</v>
      </c>
      <c r="F24" s="12" t="str">
        <f aca="false">IFERROR(INDEX(Equipos!$B$5:$B$52,MATCH(D24,Equipos!$A$5:$A$52,0)),"")</f>
        <v>Jamaica</v>
      </c>
      <c r="G24" s="17" t="n">
        <v>46190.75</v>
      </c>
      <c r="H24" s="11" t="s">
        <v>187</v>
      </c>
      <c r="I24" s="11"/>
      <c r="J24" s="11"/>
      <c r="K24" s="11" t="s">
        <v>184</v>
      </c>
    </row>
    <row r="25" customFormat="false" ht="15" hidden="false" customHeight="false" outlineLevel="0" collapsed="false">
      <c r="A25" s="9" t="n">
        <v>21</v>
      </c>
      <c r="B25" s="9" t="n">
        <v>1</v>
      </c>
      <c r="C25" s="9" t="n">
        <v>13</v>
      </c>
      <c r="D25" s="9" t="n">
        <v>16</v>
      </c>
      <c r="E25" s="10" t="str">
        <f aca="false">IFERROR(INDEX(Equipos!$B$5:$B$52,MATCH(C25,Equipos!$A$5:$A$52,0)),"")</f>
        <v>Panamá</v>
      </c>
      <c r="F25" s="10" t="str">
        <f aca="false">IFERROR(INDEX(Equipos!$B$5:$B$52,MATCH(D25,Equipos!$A$5:$A$52,0)),"")</f>
        <v>Trinidad y Tobago</v>
      </c>
      <c r="G25" s="16" t="n">
        <v>46190.875</v>
      </c>
      <c r="H25" s="9" t="s">
        <v>187</v>
      </c>
      <c r="I25" s="9"/>
      <c r="J25" s="9"/>
      <c r="K25" s="9" t="s">
        <v>184</v>
      </c>
    </row>
    <row r="26" customFormat="false" ht="15" hidden="false" customHeight="false" outlineLevel="0" collapsed="false">
      <c r="A26" s="11" t="n">
        <v>22</v>
      </c>
      <c r="B26" s="11" t="n">
        <v>1</v>
      </c>
      <c r="C26" s="11" t="n">
        <v>14</v>
      </c>
      <c r="D26" s="11" t="n">
        <v>15</v>
      </c>
      <c r="E26" s="12" t="str">
        <f aca="false">IFERROR(INDEX(Equipos!$B$5:$B$52,MATCH(C26,Equipos!$A$5:$A$52,0)),"")</f>
        <v>Honduras</v>
      </c>
      <c r="F26" s="12" t="str">
        <f aca="false">IFERROR(INDEX(Equipos!$B$5:$B$52,MATCH(D26,Equipos!$A$5:$A$52,0)),"")</f>
        <v>Jamaica</v>
      </c>
      <c r="G26" s="17" t="n">
        <v>46191</v>
      </c>
      <c r="H26" s="11" t="s">
        <v>187</v>
      </c>
      <c r="I26" s="11"/>
      <c r="J26" s="11"/>
      <c r="K26" s="11" t="s">
        <v>184</v>
      </c>
    </row>
    <row r="27" customFormat="false" ht="15" hidden="false" customHeight="false" outlineLevel="0" collapsed="false">
      <c r="A27" s="9" t="n">
        <v>23</v>
      </c>
      <c r="B27" s="9" t="n">
        <v>1</v>
      </c>
      <c r="C27" s="9" t="n">
        <v>14</v>
      </c>
      <c r="D27" s="9" t="n">
        <v>16</v>
      </c>
      <c r="E27" s="10" t="str">
        <f aca="false">IFERROR(INDEX(Equipos!$B$5:$B$52,MATCH(C27,Equipos!$A$5:$A$52,0)),"")</f>
        <v>Honduras</v>
      </c>
      <c r="F27" s="10" t="str">
        <f aca="false">IFERROR(INDEX(Equipos!$B$5:$B$52,MATCH(D27,Equipos!$A$5:$A$52,0)),"")</f>
        <v>Trinidad y Tobago</v>
      </c>
      <c r="G27" s="16" t="n">
        <v>46191.625</v>
      </c>
      <c r="H27" s="9" t="s">
        <v>187</v>
      </c>
      <c r="I27" s="9"/>
      <c r="J27" s="9"/>
      <c r="K27" s="9" t="s">
        <v>184</v>
      </c>
    </row>
    <row r="28" customFormat="false" ht="15" hidden="false" customHeight="false" outlineLevel="0" collapsed="false">
      <c r="A28" s="11" t="n">
        <v>24</v>
      </c>
      <c r="B28" s="11" t="n">
        <v>1</v>
      </c>
      <c r="C28" s="11" t="n">
        <v>15</v>
      </c>
      <c r="D28" s="11" t="n">
        <v>16</v>
      </c>
      <c r="E28" s="12" t="str">
        <f aca="false">IFERROR(INDEX(Equipos!$B$5:$B$52,MATCH(C28,Equipos!$A$5:$A$52,0)),"")</f>
        <v>Jamaica</v>
      </c>
      <c r="F28" s="12" t="str">
        <f aca="false">IFERROR(INDEX(Equipos!$B$5:$B$52,MATCH(D28,Equipos!$A$5:$A$52,0)),"")</f>
        <v>Trinidad y Tobago</v>
      </c>
      <c r="G28" s="17" t="n">
        <v>46191.75</v>
      </c>
      <c r="H28" s="11" t="s">
        <v>187</v>
      </c>
      <c r="I28" s="11"/>
      <c r="J28" s="11"/>
      <c r="K28" s="11" t="s">
        <v>184</v>
      </c>
    </row>
    <row r="29" customFormat="false" ht="15" hidden="false" customHeight="false" outlineLevel="0" collapsed="false">
      <c r="A29" s="9" t="n">
        <v>25</v>
      </c>
      <c r="B29" s="9" t="n">
        <v>1</v>
      </c>
      <c r="C29" s="9" t="n">
        <v>17</v>
      </c>
      <c r="D29" s="9" t="n">
        <v>18</v>
      </c>
      <c r="E29" s="10" t="str">
        <f aca="false">IFERROR(INDEX(Equipos!$B$5:$B$52,MATCH(C29,Equipos!$A$5:$A$52,0)),"")</f>
        <v>España</v>
      </c>
      <c r="F29" s="10" t="str">
        <f aca="false">IFERROR(INDEX(Equipos!$B$5:$B$52,MATCH(D29,Equipos!$A$5:$A$52,0)),"")</f>
        <v>Francia</v>
      </c>
      <c r="G29" s="16" t="n">
        <v>46192.625</v>
      </c>
      <c r="H29" s="9" t="s">
        <v>188</v>
      </c>
      <c r="I29" s="9"/>
      <c r="J29" s="9"/>
      <c r="K29" s="9" t="s">
        <v>184</v>
      </c>
    </row>
    <row r="30" customFormat="false" ht="15" hidden="false" customHeight="false" outlineLevel="0" collapsed="false">
      <c r="A30" s="11" t="n">
        <v>26</v>
      </c>
      <c r="B30" s="11" t="n">
        <v>1</v>
      </c>
      <c r="C30" s="11" t="n">
        <v>17</v>
      </c>
      <c r="D30" s="11" t="n">
        <v>19</v>
      </c>
      <c r="E30" s="12" t="str">
        <f aca="false">IFERROR(INDEX(Equipos!$B$5:$B$52,MATCH(C30,Equipos!$A$5:$A$52,0)),"")</f>
        <v>España</v>
      </c>
      <c r="F30" s="12" t="str">
        <f aca="false">IFERROR(INDEX(Equipos!$B$5:$B$52,MATCH(D30,Equipos!$A$5:$A$52,0)),"")</f>
        <v>Alemania</v>
      </c>
      <c r="G30" s="17" t="n">
        <v>46192.75</v>
      </c>
      <c r="H30" s="11" t="s">
        <v>188</v>
      </c>
      <c r="I30" s="11"/>
      <c r="J30" s="11"/>
      <c r="K30" s="11" t="s">
        <v>184</v>
      </c>
    </row>
    <row r="31" customFormat="false" ht="15" hidden="false" customHeight="false" outlineLevel="0" collapsed="false">
      <c r="A31" s="9" t="n">
        <v>27</v>
      </c>
      <c r="B31" s="9" t="n">
        <v>1</v>
      </c>
      <c r="C31" s="9" t="n">
        <v>17</v>
      </c>
      <c r="D31" s="9" t="n">
        <v>20</v>
      </c>
      <c r="E31" s="10" t="str">
        <f aca="false">IFERROR(INDEX(Equipos!$B$5:$B$52,MATCH(C31,Equipos!$A$5:$A$52,0)),"")</f>
        <v>España</v>
      </c>
      <c r="F31" s="10" t="str">
        <f aca="false">IFERROR(INDEX(Equipos!$B$5:$B$52,MATCH(D31,Equipos!$A$5:$A$52,0)),"")</f>
        <v>Portugal</v>
      </c>
      <c r="G31" s="16" t="n">
        <v>46192.875</v>
      </c>
      <c r="H31" s="9" t="s">
        <v>188</v>
      </c>
      <c r="I31" s="9"/>
      <c r="J31" s="9"/>
      <c r="K31" s="9" t="s">
        <v>184</v>
      </c>
    </row>
    <row r="32" customFormat="false" ht="15" hidden="false" customHeight="false" outlineLevel="0" collapsed="false">
      <c r="A32" s="11" t="n">
        <v>28</v>
      </c>
      <c r="B32" s="11" t="n">
        <v>1</v>
      </c>
      <c r="C32" s="11" t="n">
        <v>18</v>
      </c>
      <c r="D32" s="11" t="n">
        <v>19</v>
      </c>
      <c r="E32" s="12" t="str">
        <f aca="false">IFERROR(INDEX(Equipos!$B$5:$B$52,MATCH(C32,Equipos!$A$5:$A$52,0)),"")</f>
        <v>Francia</v>
      </c>
      <c r="F32" s="12" t="str">
        <f aca="false">IFERROR(INDEX(Equipos!$B$5:$B$52,MATCH(D32,Equipos!$A$5:$A$52,0)),"")</f>
        <v>Alemania</v>
      </c>
      <c r="G32" s="17" t="n">
        <v>46193</v>
      </c>
      <c r="H32" s="11" t="s">
        <v>188</v>
      </c>
      <c r="I32" s="11"/>
      <c r="J32" s="11"/>
      <c r="K32" s="11" t="s">
        <v>184</v>
      </c>
    </row>
    <row r="33" customFormat="false" ht="15" hidden="false" customHeight="false" outlineLevel="0" collapsed="false">
      <c r="A33" s="9" t="n">
        <v>29</v>
      </c>
      <c r="B33" s="9" t="n">
        <v>1</v>
      </c>
      <c r="C33" s="9" t="n">
        <v>18</v>
      </c>
      <c r="D33" s="9" t="n">
        <v>20</v>
      </c>
      <c r="E33" s="10" t="str">
        <f aca="false">IFERROR(INDEX(Equipos!$B$5:$B$52,MATCH(C33,Equipos!$A$5:$A$52,0)),"")</f>
        <v>Francia</v>
      </c>
      <c r="F33" s="10" t="str">
        <f aca="false">IFERROR(INDEX(Equipos!$B$5:$B$52,MATCH(D33,Equipos!$A$5:$A$52,0)),"")</f>
        <v>Portugal</v>
      </c>
      <c r="G33" s="16" t="n">
        <v>46193.625</v>
      </c>
      <c r="H33" s="9" t="s">
        <v>188</v>
      </c>
      <c r="I33" s="9"/>
      <c r="J33" s="9"/>
      <c r="K33" s="9" t="s">
        <v>184</v>
      </c>
    </row>
    <row r="34" customFormat="false" ht="15" hidden="false" customHeight="false" outlineLevel="0" collapsed="false">
      <c r="A34" s="11" t="n">
        <v>30</v>
      </c>
      <c r="B34" s="11" t="n">
        <v>1</v>
      </c>
      <c r="C34" s="11" t="n">
        <v>19</v>
      </c>
      <c r="D34" s="11" t="n">
        <v>20</v>
      </c>
      <c r="E34" s="12" t="str">
        <f aca="false">IFERROR(INDEX(Equipos!$B$5:$B$52,MATCH(C34,Equipos!$A$5:$A$52,0)),"")</f>
        <v>Alemania</v>
      </c>
      <c r="F34" s="12" t="str">
        <f aca="false">IFERROR(INDEX(Equipos!$B$5:$B$52,MATCH(D34,Equipos!$A$5:$A$52,0)),"")</f>
        <v>Portugal</v>
      </c>
      <c r="G34" s="17" t="n">
        <v>46193.75</v>
      </c>
      <c r="H34" s="11" t="s">
        <v>188</v>
      </c>
      <c r="I34" s="11"/>
      <c r="J34" s="11"/>
      <c r="K34" s="11" t="s">
        <v>184</v>
      </c>
    </row>
    <row r="35" customFormat="false" ht="15" hidden="false" customHeight="false" outlineLevel="0" collapsed="false">
      <c r="A35" s="9" t="n">
        <v>31</v>
      </c>
      <c r="B35" s="9" t="n">
        <v>1</v>
      </c>
      <c r="C35" s="9" t="n">
        <v>21</v>
      </c>
      <c r="D35" s="9" t="n">
        <v>22</v>
      </c>
      <c r="E35" s="10" t="str">
        <f aca="false">IFERROR(INDEX(Equipos!$B$5:$B$52,MATCH(C35,Equipos!$A$5:$A$52,0)),"")</f>
        <v>Inglaterra</v>
      </c>
      <c r="F35" s="10" t="str">
        <f aca="false">IFERROR(INDEX(Equipos!$B$5:$B$52,MATCH(D35,Equipos!$A$5:$A$52,0)),"")</f>
        <v>Italia</v>
      </c>
      <c r="G35" s="16" t="n">
        <v>46194.625</v>
      </c>
      <c r="H35" s="9" t="s">
        <v>189</v>
      </c>
      <c r="I35" s="9"/>
      <c r="J35" s="9"/>
      <c r="K35" s="9" t="s">
        <v>184</v>
      </c>
    </row>
    <row r="36" customFormat="false" ht="15" hidden="false" customHeight="false" outlineLevel="0" collapsed="false">
      <c r="A36" s="11" t="n">
        <v>32</v>
      </c>
      <c r="B36" s="11" t="n">
        <v>1</v>
      </c>
      <c r="C36" s="11" t="n">
        <v>21</v>
      </c>
      <c r="D36" s="11" t="n">
        <v>23</v>
      </c>
      <c r="E36" s="12" t="str">
        <f aca="false">IFERROR(INDEX(Equipos!$B$5:$B$52,MATCH(C36,Equipos!$A$5:$A$52,0)),"")</f>
        <v>Inglaterra</v>
      </c>
      <c r="F36" s="12" t="str">
        <f aca="false">IFERROR(INDEX(Equipos!$B$5:$B$52,MATCH(D36,Equipos!$A$5:$A$52,0)),"")</f>
        <v>Países Bajos</v>
      </c>
      <c r="G36" s="17" t="n">
        <v>46194.75</v>
      </c>
      <c r="H36" s="11" t="s">
        <v>189</v>
      </c>
      <c r="I36" s="11"/>
      <c r="J36" s="11"/>
      <c r="K36" s="11" t="s">
        <v>184</v>
      </c>
    </row>
    <row r="37" customFormat="false" ht="15" hidden="false" customHeight="false" outlineLevel="0" collapsed="false">
      <c r="A37" s="9" t="n">
        <v>33</v>
      </c>
      <c r="B37" s="9" t="n">
        <v>1</v>
      </c>
      <c r="C37" s="9" t="n">
        <v>21</v>
      </c>
      <c r="D37" s="9" t="n">
        <v>24</v>
      </c>
      <c r="E37" s="10" t="str">
        <f aca="false">IFERROR(INDEX(Equipos!$B$5:$B$52,MATCH(C37,Equipos!$A$5:$A$52,0)),"")</f>
        <v>Inglaterra</v>
      </c>
      <c r="F37" s="10" t="str">
        <f aca="false">IFERROR(INDEX(Equipos!$B$5:$B$52,MATCH(D37,Equipos!$A$5:$A$52,0)),"")</f>
        <v>Bélgica</v>
      </c>
      <c r="G37" s="16" t="n">
        <v>46194.875</v>
      </c>
      <c r="H37" s="9" t="s">
        <v>189</v>
      </c>
      <c r="I37" s="9"/>
      <c r="J37" s="9"/>
      <c r="K37" s="9" t="s">
        <v>184</v>
      </c>
    </row>
    <row r="38" customFormat="false" ht="15" hidden="false" customHeight="false" outlineLevel="0" collapsed="false">
      <c r="A38" s="11" t="n">
        <v>34</v>
      </c>
      <c r="B38" s="11" t="n">
        <v>1</v>
      </c>
      <c r="C38" s="11" t="n">
        <v>22</v>
      </c>
      <c r="D38" s="11" t="n">
        <v>23</v>
      </c>
      <c r="E38" s="12" t="str">
        <f aca="false">IFERROR(INDEX(Equipos!$B$5:$B$52,MATCH(C38,Equipos!$A$5:$A$52,0)),"")</f>
        <v>Italia</v>
      </c>
      <c r="F38" s="12" t="str">
        <f aca="false">IFERROR(INDEX(Equipos!$B$5:$B$52,MATCH(D38,Equipos!$A$5:$A$52,0)),"")</f>
        <v>Países Bajos</v>
      </c>
      <c r="G38" s="17" t="n">
        <v>46195</v>
      </c>
      <c r="H38" s="11" t="s">
        <v>189</v>
      </c>
      <c r="I38" s="11"/>
      <c r="J38" s="11"/>
      <c r="K38" s="11" t="s">
        <v>184</v>
      </c>
    </row>
    <row r="39" customFormat="false" ht="15" hidden="false" customHeight="false" outlineLevel="0" collapsed="false">
      <c r="A39" s="9" t="n">
        <v>35</v>
      </c>
      <c r="B39" s="9" t="n">
        <v>1</v>
      </c>
      <c r="C39" s="9" t="n">
        <v>22</v>
      </c>
      <c r="D39" s="9" t="n">
        <v>24</v>
      </c>
      <c r="E39" s="10" t="str">
        <f aca="false">IFERROR(INDEX(Equipos!$B$5:$B$52,MATCH(C39,Equipos!$A$5:$A$52,0)),"")</f>
        <v>Italia</v>
      </c>
      <c r="F39" s="10" t="str">
        <f aca="false">IFERROR(INDEX(Equipos!$B$5:$B$52,MATCH(D39,Equipos!$A$5:$A$52,0)),"")</f>
        <v>Bélgica</v>
      </c>
      <c r="G39" s="16" t="n">
        <v>46195.625</v>
      </c>
      <c r="H39" s="9" t="s">
        <v>189</v>
      </c>
      <c r="I39" s="9"/>
      <c r="J39" s="9"/>
      <c r="K39" s="9" t="s">
        <v>184</v>
      </c>
    </row>
    <row r="40" customFormat="false" ht="15" hidden="false" customHeight="false" outlineLevel="0" collapsed="false">
      <c r="A40" s="11" t="n">
        <v>36</v>
      </c>
      <c r="B40" s="11" t="n">
        <v>1</v>
      </c>
      <c r="C40" s="11" t="n">
        <v>23</v>
      </c>
      <c r="D40" s="11" t="n">
        <v>24</v>
      </c>
      <c r="E40" s="12" t="str">
        <f aca="false">IFERROR(INDEX(Equipos!$B$5:$B$52,MATCH(C40,Equipos!$A$5:$A$52,0)),"")</f>
        <v>Países Bajos</v>
      </c>
      <c r="F40" s="12" t="str">
        <f aca="false">IFERROR(INDEX(Equipos!$B$5:$B$52,MATCH(D40,Equipos!$A$5:$A$52,0)),"")</f>
        <v>Bélgica</v>
      </c>
      <c r="G40" s="17" t="n">
        <v>46195.75</v>
      </c>
      <c r="H40" s="11" t="s">
        <v>189</v>
      </c>
      <c r="I40" s="11"/>
      <c r="J40" s="11"/>
      <c r="K40" s="11" t="s">
        <v>184</v>
      </c>
    </row>
    <row r="41" customFormat="false" ht="15" hidden="false" customHeight="false" outlineLevel="0" collapsed="false">
      <c r="A41" s="9" t="n">
        <v>37</v>
      </c>
      <c r="B41" s="9" t="n">
        <v>1</v>
      </c>
      <c r="C41" s="9" t="n">
        <v>25</v>
      </c>
      <c r="D41" s="9" t="n">
        <v>26</v>
      </c>
      <c r="E41" s="10" t="str">
        <f aca="false">IFERROR(INDEX(Equipos!$B$5:$B$52,MATCH(C41,Equipos!$A$5:$A$52,0)),"")</f>
        <v>Croacia</v>
      </c>
      <c r="F41" s="10" t="str">
        <f aca="false">IFERROR(INDEX(Equipos!$B$5:$B$52,MATCH(D41,Equipos!$A$5:$A$52,0)),"")</f>
        <v>Suiza</v>
      </c>
      <c r="G41" s="16" t="n">
        <v>46196.625</v>
      </c>
      <c r="H41" s="9" t="s">
        <v>190</v>
      </c>
      <c r="I41" s="9"/>
      <c r="J41" s="9"/>
      <c r="K41" s="9" t="s">
        <v>184</v>
      </c>
    </row>
    <row r="42" customFormat="false" ht="15" hidden="false" customHeight="false" outlineLevel="0" collapsed="false">
      <c r="A42" s="11" t="n">
        <v>38</v>
      </c>
      <c r="B42" s="11" t="n">
        <v>1</v>
      </c>
      <c r="C42" s="11" t="n">
        <v>25</v>
      </c>
      <c r="D42" s="11" t="n">
        <v>27</v>
      </c>
      <c r="E42" s="12" t="str">
        <f aca="false">IFERROR(INDEX(Equipos!$B$5:$B$52,MATCH(C42,Equipos!$A$5:$A$52,0)),"")</f>
        <v>Croacia</v>
      </c>
      <c r="F42" s="12" t="str">
        <f aca="false">IFERROR(INDEX(Equipos!$B$5:$B$52,MATCH(D42,Equipos!$A$5:$A$52,0)),"")</f>
        <v>Austria</v>
      </c>
      <c r="G42" s="17" t="n">
        <v>46196.75</v>
      </c>
      <c r="H42" s="11" t="s">
        <v>190</v>
      </c>
      <c r="I42" s="11"/>
      <c r="J42" s="11"/>
      <c r="K42" s="11" t="s">
        <v>184</v>
      </c>
    </row>
    <row r="43" customFormat="false" ht="15" hidden="false" customHeight="false" outlineLevel="0" collapsed="false">
      <c r="A43" s="9" t="n">
        <v>39</v>
      </c>
      <c r="B43" s="9" t="n">
        <v>1</v>
      </c>
      <c r="C43" s="9" t="n">
        <v>25</v>
      </c>
      <c r="D43" s="9" t="n">
        <v>28</v>
      </c>
      <c r="E43" s="10" t="str">
        <f aca="false">IFERROR(INDEX(Equipos!$B$5:$B$52,MATCH(C43,Equipos!$A$5:$A$52,0)),"")</f>
        <v>Croacia</v>
      </c>
      <c r="F43" s="10" t="str">
        <f aca="false">IFERROR(INDEX(Equipos!$B$5:$B$52,MATCH(D43,Equipos!$A$5:$A$52,0)),"")</f>
        <v>Hungría</v>
      </c>
      <c r="G43" s="16" t="n">
        <v>46196.875</v>
      </c>
      <c r="H43" s="9" t="s">
        <v>190</v>
      </c>
      <c r="I43" s="9"/>
      <c r="J43" s="9"/>
      <c r="K43" s="9" t="s">
        <v>184</v>
      </c>
    </row>
    <row r="44" customFormat="false" ht="15" hidden="false" customHeight="false" outlineLevel="0" collapsed="false">
      <c r="A44" s="11" t="n">
        <v>40</v>
      </c>
      <c r="B44" s="11" t="n">
        <v>1</v>
      </c>
      <c r="C44" s="11" t="n">
        <v>26</v>
      </c>
      <c r="D44" s="11" t="n">
        <v>27</v>
      </c>
      <c r="E44" s="12" t="str">
        <f aca="false">IFERROR(INDEX(Equipos!$B$5:$B$52,MATCH(C44,Equipos!$A$5:$A$52,0)),"")</f>
        <v>Suiza</v>
      </c>
      <c r="F44" s="12" t="str">
        <f aca="false">IFERROR(INDEX(Equipos!$B$5:$B$52,MATCH(D44,Equipos!$A$5:$A$52,0)),"")</f>
        <v>Austria</v>
      </c>
      <c r="G44" s="17" t="n">
        <v>46197</v>
      </c>
      <c r="H44" s="11" t="s">
        <v>190</v>
      </c>
      <c r="I44" s="11"/>
      <c r="J44" s="11"/>
      <c r="K44" s="11" t="s">
        <v>184</v>
      </c>
    </row>
    <row r="45" customFormat="false" ht="15" hidden="false" customHeight="false" outlineLevel="0" collapsed="false">
      <c r="A45" s="9" t="n">
        <v>41</v>
      </c>
      <c r="B45" s="9" t="n">
        <v>1</v>
      </c>
      <c r="C45" s="9" t="n">
        <v>26</v>
      </c>
      <c r="D45" s="9" t="n">
        <v>28</v>
      </c>
      <c r="E45" s="10" t="str">
        <f aca="false">IFERROR(INDEX(Equipos!$B$5:$B$52,MATCH(C45,Equipos!$A$5:$A$52,0)),"")</f>
        <v>Suiza</v>
      </c>
      <c r="F45" s="10" t="str">
        <f aca="false">IFERROR(INDEX(Equipos!$B$5:$B$52,MATCH(D45,Equipos!$A$5:$A$52,0)),"")</f>
        <v>Hungría</v>
      </c>
      <c r="G45" s="16" t="n">
        <v>46197.625</v>
      </c>
      <c r="H45" s="9" t="s">
        <v>190</v>
      </c>
      <c r="I45" s="9"/>
      <c r="J45" s="9"/>
      <c r="K45" s="9" t="s">
        <v>184</v>
      </c>
    </row>
    <row r="46" customFormat="false" ht="15" hidden="false" customHeight="false" outlineLevel="0" collapsed="false">
      <c r="A46" s="11" t="n">
        <v>42</v>
      </c>
      <c r="B46" s="11" t="n">
        <v>1</v>
      </c>
      <c r="C46" s="11" t="n">
        <v>27</v>
      </c>
      <c r="D46" s="11" t="n">
        <v>28</v>
      </c>
      <c r="E46" s="12" t="str">
        <f aca="false">IFERROR(INDEX(Equipos!$B$5:$B$52,MATCH(C46,Equipos!$A$5:$A$52,0)),"")</f>
        <v>Austria</v>
      </c>
      <c r="F46" s="12" t="str">
        <f aca="false">IFERROR(INDEX(Equipos!$B$5:$B$52,MATCH(D46,Equipos!$A$5:$A$52,0)),"")</f>
        <v>Hungría</v>
      </c>
      <c r="G46" s="17" t="n">
        <v>46197.75</v>
      </c>
      <c r="H46" s="11" t="s">
        <v>190</v>
      </c>
      <c r="I46" s="11"/>
      <c r="J46" s="11"/>
      <c r="K46" s="11" t="s">
        <v>184</v>
      </c>
    </row>
    <row r="47" customFormat="false" ht="15" hidden="false" customHeight="false" outlineLevel="0" collapsed="false">
      <c r="A47" s="9" t="n">
        <v>43</v>
      </c>
      <c r="B47" s="9" t="n">
        <v>1</v>
      </c>
      <c r="C47" s="9" t="n">
        <v>29</v>
      </c>
      <c r="D47" s="9" t="n">
        <v>30</v>
      </c>
      <c r="E47" s="10" t="str">
        <f aca="false">IFERROR(INDEX(Equipos!$B$5:$B$52,MATCH(C47,Equipos!$A$5:$A$52,0)),"")</f>
        <v>Turquía</v>
      </c>
      <c r="F47" s="10" t="str">
        <f aca="false">IFERROR(INDEX(Equipos!$B$5:$B$52,MATCH(D47,Equipos!$A$5:$A$52,0)),"")</f>
        <v>Escocia</v>
      </c>
      <c r="G47" s="16" t="n">
        <v>46198.625</v>
      </c>
      <c r="H47" s="9" t="s">
        <v>191</v>
      </c>
      <c r="I47" s="9"/>
      <c r="J47" s="9"/>
      <c r="K47" s="9" t="s">
        <v>184</v>
      </c>
    </row>
    <row r="48" customFormat="false" ht="15" hidden="false" customHeight="false" outlineLevel="0" collapsed="false">
      <c r="A48" s="11" t="n">
        <v>44</v>
      </c>
      <c r="B48" s="11" t="n">
        <v>1</v>
      </c>
      <c r="C48" s="11" t="n">
        <v>29</v>
      </c>
      <c r="D48" s="11" t="n">
        <v>31</v>
      </c>
      <c r="E48" s="12" t="str">
        <f aca="false">IFERROR(INDEX(Equipos!$B$5:$B$52,MATCH(C48,Equipos!$A$5:$A$52,0)),"")</f>
        <v>Turquía</v>
      </c>
      <c r="F48" s="12" t="str">
        <f aca="false">IFERROR(INDEX(Equipos!$B$5:$B$52,MATCH(D48,Equipos!$A$5:$A$52,0)),"")</f>
        <v>Serbia</v>
      </c>
      <c r="G48" s="17" t="n">
        <v>46198.75</v>
      </c>
      <c r="H48" s="11" t="s">
        <v>191</v>
      </c>
      <c r="I48" s="11"/>
      <c r="J48" s="11"/>
      <c r="K48" s="11" t="s">
        <v>184</v>
      </c>
    </row>
    <row r="49" customFormat="false" ht="15" hidden="false" customHeight="false" outlineLevel="0" collapsed="false">
      <c r="A49" s="9" t="n">
        <v>45</v>
      </c>
      <c r="B49" s="9" t="n">
        <v>1</v>
      </c>
      <c r="C49" s="9" t="n">
        <v>29</v>
      </c>
      <c r="D49" s="9" t="n">
        <v>32</v>
      </c>
      <c r="E49" s="10" t="str">
        <f aca="false">IFERROR(INDEX(Equipos!$B$5:$B$52,MATCH(C49,Equipos!$A$5:$A$52,0)),"")</f>
        <v>Turquía</v>
      </c>
      <c r="F49" s="10" t="str">
        <f aca="false">IFERROR(INDEX(Equipos!$B$5:$B$52,MATCH(D49,Equipos!$A$5:$A$52,0)),"")</f>
        <v>República Checa</v>
      </c>
      <c r="G49" s="16" t="n">
        <v>46198.875</v>
      </c>
      <c r="H49" s="9" t="s">
        <v>191</v>
      </c>
      <c r="I49" s="9"/>
      <c r="J49" s="9"/>
      <c r="K49" s="9" t="s">
        <v>184</v>
      </c>
    </row>
    <row r="50" customFormat="false" ht="15" hidden="false" customHeight="false" outlineLevel="0" collapsed="false">
      <c r="A50" s="11" t="n">
        <v>46</v>
      </c>
      <c r="B50" s="11" t="n">
        <v>1</v>
      </c>
      <c r="C50" s="11" t="n">
        <v>30</v>
      </c>
      <c r="D50" s="11" t="n">
        <v>31</v>
      </c>
      <c r="E50" s="12" t="str">
        <f aca="false">IFERROR(INDEX(Equipos!$B$5:$B$52,MATCH(C50,Equipos!$A$5:$A$52,0)),"")</f>
        <v>Escocia</v>
      </c>
      <c r="F50" s="12" t="str">
        <f aca="false">IFERROR(INDEX(Equipos!$B$5:$B$52,MATCH(D50,Equipos!$A$5:$A$52,0)),"")</f>
        <v>Serbia</v>
      </c>
      <c r="G50" s="17" t="n">
        <v>46199</v>
      </c>
      <c r="H50" s="11" t="s">
        <v>191</v>
      </c>
      <c r="I50" s="11"/>
      <c r="J50" s="11"/>
      <c r="K50" s="11" t="s">
        <v>184</v>
      </c>
    </row>
    <row r="51" customFormat="false" ht="15" hidden="false" customHeight="false" outlineLevel="0" collapsed="false">
      <c r="A51" s="9" t="n">
        <v>47</v>
      </c>
      <c r="B51" s="9" t="n">
        <v>1</v>
      </c>
      <c r="C51" s="9" t="n">
        <v>30</v>
      </c>
      <c r="D51" s="9" t="n">
        <v>32</v>
      </c>
      <c r="E51" s="10" t="str">
        <f aca="false">IFERROR(INDEX(Equipos!$B$5:$B$52,MATCH(C51,Equipos!$A$5:$A$52,0)),"")</f>
        <v>Escocia</v>
      </c>
      <c r="F51" s="10" t="str">
        <f aca="false">IFERROR(INDEX(Equipos!$B$5:$B$52,MATCH(D51,Equipos!$A$5:$A$52,0)),"")</f>
        <v>República Checa</v>
      </c>
      <c r="G51" s="16" t="n">
        <v>46199.625</v>
      </c>
      <c r="H51" s="9" t="s">
        <v>191</v>
      </c>
      <c r="I51" s="9"/>
      <c r="J51" s="9"/>
      <c r="K51" s="9" t="s">
        <v>184</v>
      </c>
    </row>
    <row r="52" customFormat="false" ht="15" hidden="false" customHeight="false" outlineLevel="0" collapsed="false">
      <c r="A52" s="11" t="n">
        <v>48</v>
      </c>
      <c r="B52" s="11" t="n">
        <v>1</v>
      </c>
      <c r="C52" s="11" t="n">
        <v>31</v>
      </c>
      <c r="D52" s="11" t="n">
        <v>32</v>
      </c>
      <c r="E52" s="12" t="str">
        <f aca="false">IFERROR(INDEX(Equipos!$B$5:$B$52,MATCH(C52,Equipos!$A$5:$A$52,0)),"")</f>
        <v>Serbia</v>
      </c>
      <c r="F52" s="12" t="str">
        <f aca="false">IFERROR(INDEX(Equipos!$B$5:$B$52,MATCH(D52,Equipos!$A$5:$A$52,0)),"")</f>
        <v>República Checa</v>
      </c>
      <c r="G52" s="17" t="n">
        <v>46199.75</v>
      </c>
      <c r="H52" s="11" t="s">
        <v>191</v>
      </c>
      <c r="I52" s="11"/>
      <c r="J52" s="11"/>
      <c r="K52" s="11" t="s">
        <v>184</v>
      </c>
    </row>
    <row r="53" customFormat="false" ht="15" hidden="false" customHeight="false" outlineLevel="0" collapsed="false">
      <c r="A53" s="9" t="n">
        <v>49</v>
      </c>
      <c r="B53" s="9" t="n">
        <v>1</v>
      </c>
      <c r="C53" s="9" t="n">
        <v>33</v>
      </c>
      <c r="D53" s="9" t="n">
        <v>34</v>
      </c>
      <c r="E53" s="10" t="str">
        <f aca="false">IFERROR(INDEX(Equipos!$B$5:$B$52,MATCH(C53,Equipos!$A$5:$A$52,0)),"")</f>
        <v>Marruecos</v>
      </c>
      <c r="F53" s="10" t="str">
        <f aca="false">IFERROR(INDEX(Equipos!$B$5:$B$52,MATCH(D53,Equipos!$A$5:$A$52,0)),"")</f>
        <v>Senegal</v>
      </c>
      <c r="G53" s="16" t="n">
        <v>46200.625</v>
      </c>
      <c r="H53" s="9" t="s">
        <v>192</v>
      </c>
      <c r="I53" s="9"/>
      <c r="J53" s="9"/>
      <c r="K53" s="9" t="s">
        <v>184</v>
      </c>
    </row>
    <row r="54" customFormat="false" ht="15" hidden="false" customHeight="false" outlineLevel="0" collapsed="false">
      <c r="A54" s="11" t="n">
        <v>50</v>
      </c>
      <c r="B54" s="11" t="n">
        <v>1</v>
      </c>
      <c r="C54" s="11" t="n">
        <v>33</v>
      </c>
      <c r="D54" s="11" t="n">
        <v>35</v>
      </c>
      <c r="E54" s="12" t="str">
        <f aca="false">IFERROR(INDEX(Equipos!$B$5:$B$52,MATCH(C54,Equipos!$A$5:$A$52,0)),"")</f>
        <v>Marruecos</v>
      </c>
      <c r="F54" s="12" t="str">
        <f aca="false">IFERROR(INDEX(Equipos!$B$5:$B$52,MATCH(D54,Equipos!$A$5:$A$52,0)),"")</f>
        <v>Nigeria</v>
      </c>
      <c r="G54" s="17" t="n">
        <v>46200.75</v>
      </c>
      <c r="H54" s="11" t="s">
        <v>192</v>
      </c>
      <c r="I54" s="11"/>
      <c r="J54" s="11"/>
      <c r="K54" s="11" t="s">
        <v>184</v>
      </c>
    </row>
    <row r="55" customFormat="false" ht="15" hidden="false" customHeight="false" outlineLevel="0" collapsed="false">
      <c r="A55" s="9" t="n">
        <v>51</v>
      </c>
      <c r="B55" s="9" t="n">
        <v>1</v>
      </c>
      <c r="C55" s="9" t="n">
        <v>33</v>
      </c>
      <c r="D55" s="9" t="n">
        <v>36</v>
      </c>
      <c r="E55" s="10" t="str">
        <f aca="false">IFERROR(INDEX(Equipos!$B$5:$B$52,MATCH(C55,Equipos!$A$5:$A$52,0)),"")</f>
        <v>Marruecos</v>
      </c>
      <c r="F55" s="10" t="str">
        <f aca="false">IFERROR(INDEX(Equipos!$B$5:$B$52,MATCH(D55,Equipos!$A$5:$A$52,0)),"")</f>
        <v>Camerún</v>
      </c>
      <c r="G55" s="16" t="n">
        <v>46200.875</v>
      </c>
      <c r="H55" s="9" t="s">
        <v>192</v>
      </c>
      <c r="I55" s="9"/>
      <c r="J55" s="9"/>
      <c r="K55" s="9" t="s">
        <v>184</v>
      </c>
    </row>
    <row r="56" customFormat="false" ht="15" hidden="false" customHeight="false" outlineLevel="0" collapsed="false">
      <c r="A56" s="11" t="n">
        <v>52</v>
      </c>
      <c r="B56" s="11" t="n">
        <v>1</v>
      </c>
      <c r="C56" s="11" t="n">
        <v>34</v>
      </c>
      <c r="D56" s="11" t="n">
        <v>35</v>
      </c>
      <c r="E56" s="12" t="str">
        <f aca="false">IFERROR(INDEX(Equipos!$B$5:$B$52,MATCH(C56,Equipos!$A$5:$A$52,0)),"")</f>
        <v>Senegal</v>
      </c>
      <c r="F56" s="12" t="str">
        <f aca="false">IFERROR(INDEX(Equipos!$B$5:$B$52,MATCH(D56,Equipos!$A$5:$A$52,0)),"")</f>
        <v>Nigeria</v>
      </c>
      <c r="G56" s="17" t="n">
        <v>46201</v>
      </c>
      <c r="H56" s="11" t="s">
        <v>192</v>
      </c>
      <c r="I56" s="11"/>
      <c r="J56" s="11"/>
      <c r="K56" s="11" t="s">
        <v>184</v>
      </c>
    </row>
    <row r="57" customFormat="false" ht="15" hidden="false" customHeight="false" outlineLevel="0" collapsed="false">
      <c r="A57" s="9" t="n">
        <v>53</v>
      </c>
      <c r="B57" s="9" t="n">
        <v>1</v>
      </c>
      <c r="C57" s="9" t="n">
        <v>34</v>
      </c>
      <c r="D57" s="9" t="n">
        <v>36</v>
      </c>
      <c r="E57" s="10" t="str">
        <f aca="false">IFERROR(INDEX(Equipos!$B$5:$B$52,MATCH(C57,Equipos!$A$5:$A$52,0)),"")</f>
        <v>Senegal</v>
      </c>
      <c r="F57" s="10" t="str">
        <f aca="false">IFERROR(INDEX(Equipos!$B$5:$B$52,MATCH(D57,Equipos!$A$5:$A$52,0)),"")</f>
        <v>Camerún</v>
      </c>
      <c r="G57" s="16" t="n">
        <v>46201.625</v>
      </c>
      <c r="H57" s="9" t="s">
        <v>192</v>
      </c>
      <c r="I57" s="9"/>
      <c r="J57" s="9"/>
      <c r="K57" s="9" t="s">
        <v>184</v>
      </c>
    </row>
    <row r="58" customFormat="false" ht="15" hidden="false" customHeight="false" outlineLevel="0" collapsed="false">
      <c r="A58" s="11" t="n">
        <v>54</v>
      </c>
      <c r="B58" s="11" t="n">
        <v>1</v>
      </c>
      <c r="C58" s="11" t="n">
        <v>35</v>
      </c>
      <c r="D58" s="11" t="n">
        <v>36</v>
      </c>
      <c r="E58" s="12" t="str">
        <f aca="false">IFERROR(INDEX(Equipos!$B$5:$B$52,MATCH(C58,Equipos!$A$5:$A$52,0)),"")</f>
        <v>Nigeria</v>
      </c>
      <c r="F58" s="12" t="str">
        <f aca="false">IFERROR(INDEX(Equipos!$B$5:$B$52,MATCH(D58,Equipos!$A$5:$A$52,0)),"")</f>
        <v>Camerún</v>
      </c>
      <c r="G58" s="17" t="n">
        <v>46201.75</v>
      </c>
      <c r="H58" s="11" t="s">
        <v>192</v>
      </c>
      <c r="I58" s="11"/>
      <c r="J58" s="11"/>
      <c r="K58" s="11" t="s">
        <v>184</v>
      </c>
    </row>
    <row r="59" customFormat="false" ht="15" hidden="false" customHeight="false" outlineLevel="0" collapsed="false">
      <c r="A59" s="9" t="n">
        <v>55</v>
      </c>
      <c r="B59" s="9" t="n">
        <v>1</v>
      </c>
      <c r="C59" s="9" t="n">
        <v>37</v>
      </c>
      <c r="D59" s="9" t="n">
        <v>38</v>
      </c>
      <c r="E59" s="10" t="str">
        <f aca="false">IFERROR(INDEX(Equipos!$B$5:$B$52,MATCH(C59,Equipos!$A$5:$A$52,0)),"")</f>
        <v>Egipto</v>
      </c>
      <c r="F59" s="10" t="str">
        <f aca="false">IFERROR(INDEX(Equipos!$B$5:$B$52,MATCH(D59,Equipos!$A$5:$A$52,0)),"")</f>
        <v>Costa de Marfil</v>
      </c>
      <c r="G59" s="16" t="n">
        <v>46202.625</v>
      </c>
      <c r="H59" s="9" t="s">
        <v>193</v>
      </c>
      <c r="I59" s="9"/>
      <c r="J59" s="9"/>
      <c r="K59" s="9" t="s">
        <v>184</v>
      </c>
    </row>
    <row r="60" customFormat="false" ht="15" hidden="false" customHeight="false" outlineLevel="0" collapsed="false">
      <c r="A60" s="11" t="n">
        <v>56</v>
      </c>
      <c r="B60" s="11" t="n">
        <v>1</v>
      </c>
      <c r="C60" s="11" t="n">
        <v>37</v>
      </c>
      <c r="D60" s="11" t="n">
        <v>39</v>
      </c>
      <c r="E60" s="12" t="str">
        <f aca="false">IFERROR(INDEX(Equipos!$B$5:$B$52,MATCH(C60,Equipos!$A$5:$A$52,0)),"")</f>
        <v>Egipto</v>
      </c>
      <c r="F60" s="12" t="str">
        <f aca="false">IFERROR(INDEX(Equipos!$B$5:$B$52,MATCH(D60,Equipos!$A$5:$A$52,0)),"")</f>
        <v>Sudáfrica</v>
      </c>
      <c r="G60" s="17" t="n">
        <v>46202.75</v>
      </c>
      <c r="H60" s="11" t="s">
        <v>193</v>
      </c>
      <c r="I60" s="11"/>
      <c r="J60" s="11"/>
      <c r="K60" s="11" t="s">
        <v>184</v>
      </c>
    </row>
    <row r="61" customFormat="false" ht="15" hidden="false" customHeight="false" outlineLevel="0" collapsed="false">
      <c r="A61" s="9" t="n">
        <v>57</v>
      </c>
      <c r="B61" s="9" t="n">
        <v>1</v>
      </c>
      <c r="C61" s="9" t="n">
        <v>37</v>
      </c>
      <c r="D61" s="9" t="n">
        <v>40</v>
      </c>
      <c r="E61" s="10" t="str">
        <f aca="false">IFERROR(INDEX(Equipos!$B$5:$B$52,MATCH(C61,Equipos!$A$5:$A$52,0)),"")</f>
        <v>Egipto</v>
      </c>
      <c r="F61" s="10" t="str">
        <f aca="false">IFERROR(INDEX(Equipos!$B$5:$B$52,MATCH(D61,Equipos!$A$5:$A$52,0)),"")</f>
        <v>Ghana</v>
      </c>
      <c r="G61" s="16" t="n">
        <v>46202.875</v>
      </c>
      <c r="H61" s="9" t="s">
        <v>193</v>
      </c>
      <c r="I61" s="9"/>
      <c r="J61" s="9"/>
      <c r="K61" s="9" t="s">
        <v>184</v>
      </c>
    </row>
    <row r="62" customFormat="false" ht="15" hidden="false" customHeight="false" outlineLevel="0" collapsed="false">
      <c r="A62" s="11" t="n">
        <v>58</v>
      </c>
      <c r="B62" s="11" t="n">
        <v>1</v>
      </c>
      <c r="C62" s="11" t="n">
        <v>38</v>
      </c>
      <c r="D62" s="11" t="n">
        <v>39</v>
      </c>
      <c r="E62" s="12" t="str">
        <f aca="false">IFERROR(INDEX(Equipos!$B$5:$B$52,MATCH(C62,Equipos!$A$5:$A$52,0)),"")</f>
        <v>Costa de Marfil</v>
      </c>
      <c r="F62" s="12" t="str">
        <f aca="false">IFERROR(INDEX(Equipos!$B$5:$B$52,MATCH(D62,Equipos!$A$5:$A$52,0)),"")</f>
        <v>Sudáfrica</v>
      </c>
      <c r="G62" s="17" t="n">
        <v>46203</v>
      </c>
      <c r="H62" s="11" t="s">
        <v>193</v>
      </c>
      <c r="I62" s="11"/>
      <c r="J62" s="11"/>
      <c r="K62" s="11" t="s">
        <v>184</v>
      </c>
    </row>
    <row r="63" customFormat="false" ht="15" hidden="false" customHeight="false" outlineLevel="0" collapsed="false">
      <c r="A63" s="9" t="n">
        <v>59</v>
      </c>
      <c r="B63" s="9" t="n">
        <v>1</v>
      </c>
      <c r="C63" s="9" t="n">
        <v>38</v>
      </c>
      <c r="D63" s="9" t="n">
        <v>40</v>
      </c>
      <c r="E63" s="10" t="str">
        <f aca="false">IFERROR(INDEX(Equipos!$B$5:$B$52,MATCH(C63,Equipos!$A$5:$A$52,0)),"")</f>
        <v>Costa de Marfil</v>
      </c>
      <c r="F63" s="10" t="str">
        <f aca="false">IFERROR(INDEX(Equipos!$B$5:$B$52,MATCH(D63,Equipos!$A$5:$A$52,0)),"")</f>
        <v>Ghana</v>
      </c>
      <c r="G63" s="16" t="n">
        <v>46203.625</v>
      </c>
      <c r="H63" s="9" t="s">
        <v>193</v>
      </c>
      <c r="I63" s="9"/>
      <c r="J63" s="9"/>
      <c r="K63" s="9" t="s">
        <v>184</v>
      </c>
    </row>
    <row r="64" customFormat="false" ht="15" hidden="false" customHeight="false" outlineLevel="0" collapsed="false">
      <c r="A64" s="11" t="n">
        <v>60</v>
      </c>
      <c r="B64" s="11" t="n">
        <v>1</v>
      </c>
      <c r="C64" s="11" t="n">
        <v>39</v>
      </c>
      <c r="D64" s="11" t="n">
        <v>40</v>
      </c>
      <c r="E64" s="12" t="str">
        <f aca="false">IFERROR(INDEX(Equipos!$B$5:$B$52,MATCH(C64,Equipos!$A$5:$A$52,0)),"")</f>
        <v>Sudáfrica</v>
      </c>
      <c r="F64" s="12" t="str">
        <f aca="false">IFERROR(INDEX(Equipos!$B$5:$B$52,MATCH(D64,Equipos!$A$5:$A$52,0)),"")</f>
        <v>Ghana</v>
      </c>
      <c r="G64" s="17" t="n">
        <v>46203.75</v>
      </c>
      <c r="H64" s="11" t="s">
        <v>193</v>
      </c>
      <c r="I64" s="11"/>
      <c r="J64" s="11"/>
      <c r="K64" s="11" t="s">
        <v>184</v>
      </c>
    </row>
    <row r="65" customFormat="false" ht="15" hidden="false" customHeight="false" outlineLevel="0" collapsed="false">
      <c r="A65" s="9" t="n">
        <v>61</v>
      </c>
      <c r="B65" s="9" t="n">
        <v>1</v>
      </c>
      <c r="C65" s="9" t="n">
        <v>41</v>
      </c>
      <c r="D65" s="9" t="n">
        <v>42</v>
      </c>
      <c r="E65" s="10" t="str">
        <f aca="false">IFERROR(INDEX(Equipos!$B$5:$B$52,MATCH(C65,Equipos!$A$5:$A$52,0)),"")</f>
        <v>Japón</v>
      </c>
      <c r="F65" s="10" t="str">
        <f aca="false">IFERROR(INDEX(Equipos!$B$5:$B$52,MATCH(D65,Equipos!$A$5:$A$52,0)),"")</f>
        <v>Corea del Sur</v>
      </c>
      <c r="G65" s="16" t="n">
        <v>46204.625</v>
      </c>
      <c r="H65" s="9" t="s">
        <v>194</v>
      </c>
      <c r="I65" s="9"/>
      <c r="J65" s="9"/>
      <c r="K65" s="9" t="s">
        <v>184</v>
      </c>
    </row>
    <row r="66" customFormat="false" ht="15" hidden="false" customHeight="false" outlineLevel="0" collapsed="false">
      <c r="A66" s="11" t="n">
        <v>62</v>
      </c>
      <c r="B66" s="11" t="n">
        <v>1</v>
      </c>
      <c r="C66" s="11" t="n">
        <v>41</v>
      </c>
      <c r="D66" s="11" t="n">
        <v>43</v>
      </c>
      <c r="E66" s="12" t="str">
        <f aca="false">IFERROR(INDEX(Equipos!$B$5:$B$52,MATCH(C66,Equipos!$A$5:$A$52,0)),"")</f>
        <v>Japón</v>
      </c>
      <c r="F66" s="12" t="str">
        <f aca="false">IFERROR(INDEX(Equipos!$B$5:$B$52,MATCH(D66,Equipos!$A$5:$A$52,0)),"")</f>
        <v>Arabia Saudita</v>
      </c>
      <c r="G66" s="17" t="n">
        <v>46204.75</v>
      </c>
      <c r="H66" s="11" t="s">
        <v>194</v>
      </c>
      <c r="I66" s="11"/>
      <c r="J66" s="11"/>
      <c r="K66" s="11" t="s">
        <v>184</v>
      </c>
    </row>
    <row r="67" customFormat="false" ht="15" hidden="false" customHeight="false" outlineLevel="0" collapsed="false">
      <c r="A67" s="9" t="n">
        <v>63</v>
      </c>
      <c r="B67" s="9" t="n">
        <v>1</v>
      </c>
      <c r="C67" s="9" t="n">
        <v>41</v>
      </c>
      <c r="D67" s="9" t="n">
        <v>44</v>
      </c>
      <c r="E67" s="10" t="str">
        <f aca="false">IFERROR(INDEX(Equipos!$B$5:$B$52,MATCH(C67,Equipos!$A$5:$A$52,0)),"")</f>
        <v>Japón</v>
      </c>
      <c r="F67" s="10" t="str">
        <f aca="false">IFERROR(INDEX(Equipos!$B$5:$B$52,MATCH(D67,Equipos!$A$5:$A$52,0)),"")</f>
        <v>Australia</v>
      </c>
      <c r="G67" s="16" t="n">
        <v>46204.875</v>
      </c>
      <c r="H67" s="9" t="s">
        <v>194</v>
      </c>
      <c r="I67" s="9"/>
      <c r="J67" s="9"/>
      <c r="K67" s="9" t="s">
        <v>184</v>
      </c>
    </row>
    <row r="68" customFormat="false" ht="15" hidden="false" customHeight="false" outlineLevel="0" collapsed="false">
      <c r="A68" s="11" t="n">
        <v>64</v>
      </c>
      <c r="B68" s="11" t="n">
        <v>1</v>
      </c>
      <c r="C68" s="11" t="n">
        <v>42</v>
      </c>
      <c r="D68" s="11" t="n">
        <v>43</v>
      </c>
      <c r="E68" s="12" t="str">
        <f aca="false">IFERROR(INDEX(Equipos!$B$5:$B$52,MATCH(C68,Equipos!$A$5:$A$52,0)),"")</f>
        <v>Corea del Sur</v>
      </c>
      <c r="F68" s="12" t="str">
        <f aca="false">IFERROR(INDEX(Equipos!$B$5:$B$52,MATCH(D68,Equipos!$A$5:$A$52,0)),"")</f>
        <v>Arabia Saudita</v>
      </c>
      <c r="G68" s="17" t="n">
        <v>46205</v>
      </c>
      <c r="H68" s="11" t="s">
        <v>194</v>
      </c>
      <c r="I68" s="11"/>
      <c r="J68" s="11"/>
      <c r="K68" s="11" t="s">
        <v>184</v>
      </c>
    </row>
    <row r="69" customFormat="false" ht="15" hidden="false" customHeight="false" outlineLevel="0" collapsed="false">
      <c r="A69" s="9" t="n">
        <v>65</v>
      </c>
      <c r="B69" s="9" t="n">
        <v>1</v>
      </c>
      <c r="C69" s="9" t="n">
        <v>42</v>
      </c>
      <c r="D69" s="9" t="n">
        <v>44</v>
      </c>
      <c r="E69" s="10" t="str">
        <f aca="false">IFERROR(INDEX(Equipos!$B$5:$B$52,MATCH(C69,Equipos!$A$5:$A$52,0)),"")</f>
        <v>Corea del Sur</v>
      </c>
      <c r="F69" s="10" t="str">
        <f aca="false">IFERROR(INDEX(Equipos!$B$5:$B$52,MATCH(D69,Equipos!$A$5:$A$52,0)),"")</f>
        <v>Australia</v>
      </c>
      <c r="G69" s="16" t="n">
        <v>46205.625</v>
      </c>
      <c r="H69" s="9" t="s">
        <v>194</v>
      </c>
      <c r="I69" s="9"/>
      <c r="J69" s="9"/>
      <c r="K69" s="9" t="s">
        <v>184</v>
      </c>
    </row>
    <row r="70" customFormat="false" ht="15" hidden="false" customHeight="false" outlineLevel="0" collapsed="false">
      <c r="A70" s="11" t="n">
        <v>66</v>
      </c>
      <c r="B70" s="11" t="n">
        <v>1</v>
      </c>
      <c r="C70" s="11" t="n">
        <v>43</v>
      </c>
      <c r="D70" s="11" t="n">
        <v>44</v>
      </c>
      <c r="E70" s="12" t="str">
        <f aca="false">IFERROR(INDEX(Equipos!$B$5:$B$52,MATCH(C70,Equipos!$A$5:$A$52,0)),"")</f>
        <v>Arabia Saudita</v>
      </c>
      <c r="F70" s="12" t="str">
        <f aca="false">IFERROR(INDEX(Equipos!$B$5:$B$52,MATCH(D70,Equipos!$A$5:$A$52,0)),"")</f>
        <v>Australia</v>
      </c>
      <c r="G70" s="17" t="n">
        <v>46205.75</v>
      </c>
      <c r="H70" s="11" t="s">
        <v>194</v>
      </c>
      <c r="I70" s="11"/>
      <c r="J70" s="11"/>
      <c r="K70" s="11" t="s">
        <v>184</v>
      </c>
    </row>
    <row r="71" customFormat="false" ht="15" hidden="false" customHeight="false" outlineLevel="0" collapsed="false">
      <c r="A71" s="9" t="n">
        <v>67</v>
      </c>
      <c r="B71" s="9" t="n">
        <v>1</v>
      </c>
      <c r="C71" s="9" t="n">
        <v>45</v>
      </c>
      <c r="D71" s="9" t="n">
        <v>46</v>
      </c>
      <c r="E71" s="10" t="str">
        <f aca="false">IFERROR(INDEX(Equipos!$B$5:$B$52,MATCH(C71,Equipos!$A$5:$A$52,0)),"")</f>
        <v>Irán</v>
      </c>
      <c r="F71" s="10" t="str">
        <f aca="false">IFERROR(INDEX(Equipos!$B$5:$B$52,MATCH(D71,Equipos!$A$5:$A$52,0)),"")</f>
        <v>Qatar</v>
      </c>
      <c r="G71" s="16" t="n">
        <v>46206.625</v>
      </c>
      <c r="H71" s="9" t="s">
        <v>195</v>
      </c>
      <c r="I71" s="9"/>
      <c r="J71" s="9"/>
      <c r="K71" s="9" t="s">
        <v>184</v>
      </c>
    </row>
    <row r="72" customFormat="false" ht="15" hidden="false" customHeight="false" outlineLevel="0" collapsed="false">
      <c r="A72" s="11" t="n">
        <v>68</v>
      </c>
      <c r="B72" s="11" t="n">
        <v>1</v>
      </c>
      <c r="C72" s="11" t="n">
        <v>45</v>
      </c>
      <c r="D72" s="11" t="n">
        <v>47</v>
      </c>
      <c r="E72" s="12" t="str">
        <f aca="false">IFERROR(INDEX(Equipos!$B$5:$B$52,MATCH(C72,Equipos!$A$5:$A$52,0)),"")</f>
        <v>Irán</v>
      </c>
      <c r="F72" s="12" t="str">
        <f aca="false">IFERROR(INDEX(Equipos!$B$5:$B$52,MATCH(D72,Equipos!$A$5:$A$52,0)),"")</f>
        <v>Uzbekistán</v>
      </c>
      <c r="G72" s="17" t="n">
        <v>46206.75</v>
      </c>
      <c r="H72" s="11" t="s">
        <v>195</v>
      </c>
      <c r="I72" s="11"/>
      <c r="J72" s="11"/>
      <c r="K72" s="11" t="s">
        <v>184</v>
      </c>
    </row>
    <row r="73" customFormat="false" ht="15" hidden="false" customHeight="false" outlineLevel="0" collapsed="false">
      <c r="A73" s="9" t="n">
        <v>69</v>
      </c>
      <c r="B73" s="9" t="n">
        <v>1</v>
      </c>
      <c r="C73" s="9" t="n">
        <v>45</v>
      </c>
      <c r="D73" s="9" t="n">
        <v>48</v>
      </c>
      <c r="E73" s="10" t="str">
        <f aca="false">IFERROR(INDEX(Equipos!$B$5:$B$52,MATCH(C73,Equipos!$A$5:$A$52,0)),"")</f>
        <v>Irán</v>
      </c>
      <c r="F73" s="10" t="str">
        <f aca="false">IFERROR(INDEX(Equipos!$B$5:$B$52,MATCH(D73,Equipos!$A$5:$A$52,0)),"")</f>
        <v>Nueva Zelanda</v>
      </c>
      <c r="G73" s="16" t="n">
        <v>46206.875</v>
      </c>
      <c r="H73" s="9" t="s">
        <v>195</v>
      </c>
      <c r="I73" s="9"/>
      <c r="J73" s="9"/>
      <c r="K73" s="9" t="s">
        <v>184</v>
      </c>
    </row>
    <row r="74" customFormat="false" ht="15" hidden="false" customHeight="false" outlineLevel="0" collapsed="false">
      <c r="A74" s="11" t="n">
        <v>70</v>
      </c>
      <c r="B74" s="11" t="n">
        <v>1</v>
      </c>
      <c r="C74" s="11" t="n">
        <v>46</v>
      </c>
      <c r="D74" s="11" t="n">
        <v>47</v>
      </c>
      <c r="E74" s="12" t="str">
        <f aca="false">IFERROR(INDEX(Equipos!$B$5:$B$52,MATCH(C74,Equipos!$A$5:$A$52,0)),"")</f>
        <v>Qatar</v>
      </c>
      <c r="F74" s="12" t="str">
        <f aca="false">IFERROR(INDEX(Equipos!$B$5:$B$52,MATCH(D74,Equipos!$A$5:$A$52,0)),"")</f>
        <v>Uzbekistán</v>
      </c>
      <c r="G74" s="17" t="n">
        <v>46207</v>
      </c>
      <c r="H74" s="11" t="s">
        <v>195</v>
      </c>
      <c r="I74" s="11"/>
      <c r="J74" s="11"/>
      <c r="K74" s="11" t="s">
        <v>184</v>
      </c>
    </row>
    <row r="75" customFormat="false" ht="15" hidden="false" customHeight="false" outlineLevel="0" collapsed="false">
      <c r="A75" s="9" t="n">
        <v>71</v>
      </c>
      <c r="B75" s="9" t="n">
        <v>1</v>
      </c>
      <c r="C75" s="9" t="n">
        <v>46</v>
      </c>
      <c r="D75" s="9" t="n">
        <v>48</v>
      </c>
      <c r="E75" s="10" t="str">
        <f aca="false">IFERROR(INDEX(Equipos!$B$5:$B$52,MATCH(C75,Equipos!$A$5:$A$52,0)),"")</f>
        <v>Qatar</v>
      </c>
      <c r="F75" s="10" t="str">
        <f aca="false">IFERROR(INDEX(Equipos!$B$5:$B$52,MATCH(D75,Equipos!$A$5:$A$52,0)),"")</f>
        <v>Nueva Zelanda</v>
      </c>
      <c r="G75" s="16" t="n">
        <v>46207.625</v>
      </c>
      <c r="H75" s="9" t="s">
        <v>195</v>
      </c>
      <c r="I75" s="9"/>
      <c r="J75" s="9"/>
      <c r="K75" s="9" t="s">
        <v>184</v>
      </c>
    </row>
    <row r="76" customFormat="false" ht="15" hidden="false" customHeight="false" outlineLevel="0" collapsed="false">
      <c r="A76" s="11" t="n">
        <v>72</v>
      </c>
      <c r="B76" s="11" t="n">
        <v>1</v>
      </c>
      <c r="C76" s="11" t="n">
        <v>47</v>
      </c>
      <c r="D76" s="11" t="n">
        <v>48</v>
      </c>
      <c r="E76" s="12" t="str">
        <f aca="false">IFERROR(INDEX(Equipos!$B$5:$B$52,MATCH(C76,Equipos!$A$5:$A$52,0)),"")</f>
        <v>Uzbekistán</v>
      </c>
      <c r="F76" s="12" t="str">
        <f aca="false">IFERROR(INDEX(Equipos!$B$5:$B$52,MATCH(D76,Equipos!$A$5:$A$52,0)),"")</f>
        <v>Nueva Zelanda</v>
      </c>
      <c r="G76" s="17" t="n">
        <v>46207.75</v>
      </c>
      <c r="H76" s="11" t="s">
        <v>195</v>
      </c>
      <c r="I76" s="11"/>
      <c r="J76" s="11"/>
      <c r="K76" s="11" t="s">
        <v>184</v>
      </c>
    </row>
    <row r="77" customFormat="false" ht="15" hidden="false" customHeight="false" outlineLevel="0" collapsed="false">
      <c r="A77" s="9" t="n">
        <v>73</v>
      </c>
      <c r="B77" s="9" t="n">
        <v>2</v>
      </c>
      <c r="C77" s="9"/>
      <c r="D77" s="9"/>
      <c r="E77" s="10" t="s">
        <v>196</v>
      </c>
      <c r="F77" s="10" t="s">
        <v>196</v>
      </c>
      <c r="G77" s="16" t="n">
        <v>46200.75</v>
      </c>
      <c r="H77" s="9" t="s">
        <v>197</v>
      </c>
      <c r="I77" s="9"/>
      <c r="J77" s="9"/>
      <c r="K77" s="9" t="s">
        <v>184</v>
      </c>
    </row>
    <row r="78" customFormat="false" ht="15" hidden="false" customHeight="false" outlineLevel="0" collapsed="false">
      <c r="A78" s="11" t="n">
        <v>74</v>
      </c>
      <c r="B78" s="11" t="n">
        <v>2</v>
      </c>
      <c r="C78" s="11"/>
      <c r="D78" s="11"/>
      <c r="E78" s="12" t="s">
        <v>196</v>
      </c>
      <c r="F78" s="12" t="s">
        <v>196</v>
      </c>
      <c r="G78" s="17" t="n">
        <v>46200.75</v>
      </c>
      <c r="H78" s="11" t="s">
        <v>198</v>
      </c>
      <c r="I78" s="11"/>
      <c r="J78" s="11"/>
      <c r="K78" s="11" t="s">
        <v>184</v>
      </c>
    </row>
    <row r="79" customFormat="false" ht="15" hidden="false" customHeight="false" outlineLevel="0" collapsed="false">
      <c r="A79" s="9" t="n">
        <v>75</v>
      </c>
      <c r="B79" s="9" t="n">
        <v>2</v>
      </c>
      <c r="C79" s="9"/>
      <c r="D79" s="9"/>
      <c r="E79" s="10" t="s">
        <v>196</v>
      </c>
      <c r="F79" s="10" t="s">
        <v>196</v>
      </c>
      <c r="G79" s="16" t="n">
        <v>46200.75</v>
      </c>
      <c r="H79" s="9" t="s">
        <v>199</v>
      </c>
      <c r="I79" s="9"/>
      <c r="J79" s="9"/>
      <c r="K79" s="9" t="s">
        <v>184</v>
      </c>
    </row>
    <row r="80" customFormat="false" ht="15" hidden="false" customHeight="false" outlineLevel="0" collapsed="false">
      <c r="A80" s="11" t="n">
        <v>76</v>
      </c>
      <c r="B80" s="11" t="n">
        <v>2</v>
      </c>
      <c r="C80" s="11"/>
      <c r="D80" s="11"/>
      <c r="E80" s="12" t="s">
        <v>196</v>
      </c>
      <c r="F80" s="12" t="s">
        <v>196</v>
      </c>
      <c r="G80" s="17" t="n">
        <v>46200.75</v>
      </c>
      <c r="H80" s="11" t="s">
        <v>200</v>
      </c>
      <c r="I80" s="11"/>
      <c r="J80" s="11"/>
      <c r="K80" s="11" t="s">
        <v>184</v>
      </c>
    </row>
    <row r="81" customFormat="false" ht="15" hidden="false" customHeight="false" outlineLevel="0" collapsed="false">
      <c r="A81" s="9" t="n">
        <v>77</v>
      </c>
      <c r="B81" s="9" t="n">
        <v>2</v>
      </c>
      <c r="C81" s="9"/>
      <c r="D81" s="9"/>
      <c r="E81" s="10" t="s">
        <v>196</v>
      </c>
      <c r="F81" s="10" t="s">
        <v>196</v>
      </c>
      <c r="G81" s="16" t="n">
        <v>46201.75</v>
      </c>
      <c r="H81" s="9" t="s">
        <v>201</v>
      </c>
      <c r="I81" s="9"/>
      <c r="J81" s="9"/>
      <c r="K81" s="9" t="s">
        <v>184</v>
      </c>
    </row>
    <row r="82" customFormat="false" ht="15" hidden="false" customHeight="false" outlineLevel="0" collapsed="false">
      <c r="A82" s="11" t="n">
        <v>78</v>
      </c>
      <c r="B82" s="11" t="n">
        <v>2</v>
      </c>
      <c r="C82" s="11"/>
      <c r="D82" s="11"/>
      <c r="E82" s="12" t="s">
        <v>196</v>
      </c>
      <c r="F82" s="12" t="s">
        <v>196</v>
      </c>
      <c r="G82" s="17" t="n">
        <v>46201.75</v>
      </c>
      <c r="H82" s="11" t="s">
        <v>202</v>
      </c>
      <c r="I82" s="11"/>
      <c r="J82" s="11"/>
      <c r="K82" s="11" t="s">
        <v>184</v>
      </c>
    </row>
    <row r="83" customFormat="false" ht="15" hidden="false" customHeight="false" outlineLevel="0" collapsed="false">
      <c r="A83" s="9" t="n">
        <v>79</v>
      </c>
      <c r="B83" s="9" t="n">
        <v>2</v>
      </c>
      <c r="C83" s="9"/>
      <c r="D83" s="9"/>
      <c r="E83" s="10" t="s">
        <v>196</v>
      </c>
      <c r="F83" s="10" t="s">
        <v>196</v>
      </c>
      <c r="G83" s="16" t="n">
        <v>46201.75</v>
      </c>
      <c r="H83" s="9" t="s">
        <v>203</v>
      </c>
      <c r="I83" s="9"/>
      <c r="J83" s="9"/>
      <c r="K83" s="9" t="s">
        <v>184</v>
      </c>
    </row>
    <row r="84" customFormat="false" ht="15" hidden="false" customHeight="false" outlineLevel="0" collapsed="false">
      <c r="A84" s="11" t="n">
        <v>80</v>
      </c>
      <c r="B84" s="11" t="n">
        <v>2</v>
      </c>
      <c r="C84" s="11"/>
      <c r="D84" s="11"/>
      <c r="E84" s="12" t="s">
        <v>196</v>
      </c>
      <c r="F84" s="12" t="s">
        <v>196</v>
      </c>
      <c r="G84" s="17" t="n">
        <v>46201.75</v>
      </c>
      <c r="H84" s="11" t="s">
        <v>204</v>
      </c>
      <c r="I84" s="11"/>
      <c r="J84" s="11"/>
      <c r="K84" s="11" t="s">
        <v>184</v>
      </c>
    </row>
    <row r="85" customFormat="false" ht="15" hidden="false" customHeight="false" outlineLevel="0" collapsed="false">
      <c r="A85" s="9" t="n">
        <v>81</v>
      </c>
      <c r="B85" s="9" t="n">
        <v>2</v>
      </c>
      <c r="C85" s="9"/>
      <c r="D85" s="9"/>
      <c r="E85" s="10" t="s">
        <v>196</v>
      </c>
      <c r="F85" s="10" t="s">
        <v>196</v>
      </c>
      <c r="G85" s="16" t="n">
        <v>46202.75</v>
      </c>
      <c r="H85" s="9" t="s">
        <v>205</v>
      </c>
      <c r="I85" s="9"/>
      <c r="J85" s="9"/>
      <c r="K85" s="9" t="s">
        <v>184</v>
      </c>
    </row>
    <row r="86" customFormat="false" ht="15" hidden="false" customHeight="false" outlineLevel="0" collapsed="false">
      <c r="A86" s="11" t="n">
        <v>82</v>
      </c>
      <c r="B86" s="11" t="n">
        <v>2</v>
      </c>
      <c r="C86" s="11"/>
      <c r="D86" s="11"/>
      <c r="E86" s="12" t="s">
        <v>196</v>
      </c>
      <c r="F86" s="12" t="s">
        <v>196</v>
      </c>
      <c r="G86" s="17" t="n">
        <v>46202.75</v>
      </c>
      <c r="H86" s="11" t="s">
        <v>206</v>
      </c>
      <c r="I86" s="11"/>
      <c r="J86" s="11"/>
      <c r="K86" s="11" t="s">
        <v>184</v>
      </c>
    </row>
    <row r="87" customFormat="false" ht="15" hidden="false" customHeight="false" outlineLevel="0" collapsed="false">
      <c r="A87" s="9" t="n">
        <v>83</v>
      </c>
      <c r="B87" s="9" t="n">
        <v>2</v>
      </c>
      <c r="C87" s="9"/>
      <c r="D87" s="9"/>
      <c r="E87" s="10" t="s">
        <v>196</v>
      </c>
      <c r="F87" s="10" t="s">
        <v>196</v>
      </c>
      <c r="G87" s="16" t="n">
        <v>46202.75</v>
      </c>
      <c r="H87" s="9" t="s">
        <v>207</v>
      </c>
      <c r="I87" s="9"/>
      <c r="J87" s="9"/>
      <c r="K87" s="9" t="s">
        <v>184</v>
      </c>
    </row>
    <row r="88" customFormat="false" ht="15" hidden="false" customHeight="false" outlineLevel="0" collapsed="false">
      <c r="A88" s="11" t="n">
        <v>84</v>
      </c>
      <c r="B88" s="11" t="n">
        <v>2</v>
      </c>
      <c r="C88" s="11"/>
      <c r="D88" s="11"/>
      <c r="E88" s="12" t="s">
        <v>196</v>
      </c>
      <c r="F88" s="12" t="s">
        <v>196</v>
      </c>
      <c r="G88" s="17" t="n">
        <v>46202.75</v>
      </c>
      <c r="H88" s="11" t="s">
        <v>208</v>
      </c>
      <c r="I88" s="11"/>
      <c r="J88" s="11"/>
      <c r="K88" s="11" t="s">
        <v>184</v>
      </c>
    </row>
    <row r="89" customFormat="false" ht="15" hidden="false" customHeight="false" outlineLevel="0" collapsed="false">
      <c r="A89" s="9" t="n">
        <v>85</v>
      </c>
      <c r="B89" s="9" t="n">
        <v>2</v>
      </c>
      <c r="C89" s="9"/>
      <c r="D89" s="9"/>
      <c r="E89" s="10" t="s">
        <v>196</v>
      </c>
      <c r="F89" s="10" t="s">
        <v>196</v>
      </c>
      <c r="G89" s="16" t="n">
        <v>46203.75</v>
      </c>
      <c r="H89" s="9" t="s">
        <v>209</v>
      </c>
      <c r="I89" s="9"/>
      <c r="J89" s="9"/>
      <c r="K89" s="9" t="s">
        <v>184</v>
      </c>
    </row>
    <row r="90" customFormat="false" ht="15" hidden="false" customHeight="false" outlineLevel="0" collapsed="false">
      <c r="A90" s="11" t="n">
        <v>86</v>
      </c>
      <c r="B90" s="11" t="n">
        <v>2</v>
      </c>
      <c r="C90" s="11"/>
      <c r="D90" s="11"/>
      <c r="E90" s="12" t="s">
        <v>196</v>
      </c>
      <c r="F90" s="12" t="s">
        <v>196</v>
      </c>
      <c r="G90" s="17" t="n">
        <v>46203.75</v>
      </c>
      <c r="H90" s="11" t="s">
        <v>210</v>
      </c>
      <c r="I90" s="11"/>
      <c r="J90" s="11"/>
      <c r="K90" s="11" t="s">
        <v>184</v>
      </c>
    </row>
    <row r="91" customFormat="false" ht="15" hidden="false" customHeight="false" outlineLevel="0" collapsed="false">
      <c r="A91" s="9" t="n">
        <v>87</v>
      </c>
      <c r="B91" s="9" t="n">
        <v>2</v>
      </c>
      <c r="C91" s="9"/>
      <c r="D91" s="9"/>
      <c r="E91" s="10" t="s">
        <v>196</v>
      </c>
      <c r="F91" s="10" t="s">
        <v>196</v>
      </c>
      <c r="G91" s="16" t="n">
        <v>46203.75</v>
      </c>
      <c r="H91" s="9" t="s">
        <v>211</v>
      </c>
      <c r="I91" s="9"/>
      <c r="J91" s="9"/>
      <c r="K91" s="9" t="s">
        <v>184</v>
      </c>
    </row>
    <row r="92" customFormat="false" ht="15" hidden="false" customHeight="false" outlineLevel="0" collapsed="false">
      <c r="A92" s="11" t="n">
        <v>88</v>
      </c>
      <c r="B92" s="11" t="n">
        <v>2</v>
      </c>
      <c r="C92" s="11"/>
      <c r="D92" s="11"/>
      <c r="E92" s="12" t="s">
        <v>196</v>
      </c>
      <c r="F92" s="12" t="s">
        <v>196</v>
      </c>
      <c r="G92" s="17" t="n">
        <v>46203.75</v>
      </c>
      <c r="H92" s="11" t="s">
        <v>212</v>
      </c>
      <c r="I92" s="11"/>
      <c r="J92" s="11"/>
      <c r="K92" s="11" t="s">
        <v>184</v>
      </c>
    </row>
    <row r="93" customFormat="false" ht="15" hidden="false" customHeight="false" outlineLevel="0" collapsed="false">
      <c r="A93" s="9" t="n">
        <v>89</v>
      </c>
      <c r="B93" s="9" t="n">
        <v>3</v>
      </c>
      <c r="C93" s="9"/>
      <c r="D93" s="9"/>
      <c r="E93" s="10" t="s">
        <v>196</v>
      </c>
      <c r="F93" s="10" t="s">
        <v>196</v>
      </c>
      <c r="G93" s="16" t="n">
        <v>46206.75</v>
      </c>
      <c r="H93" s="9" t="s">
        <v>197</v>
      </c>
      <c r="I93" s="9"/>
      <c r="J93" s="9"/>
      <c r="K93" s="9" t="s">
        <v>184</v>
      </c>
    </row>
    <row r="94" customFormat="false" ht="15" hidden="false" customHeight="false" outlineLevel="0" collapsed="false">
      <c r="A94" s="11" t="n">
        <v>90</v>
      </c>
      <c r="B94" s="11" t="n">
        <v>3</v>
      </c>
      <c r="C94" s="11"/>
      <c r="D94" s="11"/>
      <c r="E94" s="12" t="s">
        <v>196</v>
      </c>
      <c r="F94" s="12" t="s">
        <v>196</v>
      </c>
      <c r="G94" s="17" t="n">
        <v>46206.75</v>
      </c>
      <c r="H94" s="11" t="s">
        <v>198</v>
      </c>
      <c r="I94" s="11"/>
      <c r="J94" s="11"/>
      <c r="K94" s="11" t="s">
        <v>184</v>
      </c>
    </row>
    <row r="95" customFormat="false" ht="15" hidden="false" customHeight="false" outlineLevel="0" collapsed="false">
      <c r="A95" s="9" t="n">
        <v>91</v>
      </c>
      <c r="B95" s="9" t="n">
        <v>3</v>
      </c>
      <c r="C95" s="9"/>
      <c r="D95" s="9"/>
      <c r="E95" s="10" t="s">
        <v>196</v>
      </c>
      <c r="F95" s="10" t="s">
        <v>196</v>
      </c>
      <c r="G95" s="16" t="n">
        <v>46207.75</v>
      </c>
      <c r="H95" s="9" t="s">
        <v>199</v>
      </c>
      <c r="I95" s="9"/>
      <c r="J95" s="9"/>
      <c r="K95" s="9" t="s">
        <v>184</v>
      </c>
    </row>
    <row r="96" customFormat="false" ht="15" hidden="false" customHeight="false" outlineLevel="0" collapsed="false">
      <c r="A96" s="11" t="n">
        <v>92</v>
      </c>
      <c r="B96" s="11" t="n">
        <v>3</v>
      </c>
      <c r="C96" s="11"/>
      <c r="D96" s="11"/>
      <c r="E96" s="12" t="s">
        <v>196</v>
      </c>
      <c r="F96" s="12" t="s">
        <v>196</v>
      </c>
      <c r="G96" s="17" t="n">
        <v>46207.75</v>
      </c>
      <c r="H96" s="11" t="s">
        <v>200</v>
      </c>
      <c r="I96" s="11"/>
      <c r="J96" s="11"/>
      <c r="K96" s="11" t="s">
        <v>184</v>
      </c>
    </row>
    <row r="97" customFormat="false" ht="15" hidden="false" customHeight="false" outlineLevel="0" collapsed="false">
      <c r="A97" s="9" t="n">
        <v>93</v>
      </c>
      <c r="B97" s="9" t="n">
        <v>3</v>
      </c>
      <c r="C97" s="9"/>
      <c r="D97" s="9"/>
      <c r="E97" s="10" t="s">
        <v>196</v>
      </c>
      <c r="F97" s="10" t="s">
        <v>196</v>
      </c>
      <c r="G97" s="16" t="n">
        <v>46208.75</v>
      </c>
      <c r="H97" s="9" t="s">
        <v>201</v>
      </c>
      <c r="I97" s="9"/>
      <c r="J97" s="9"/>
      <c r="K97" s="9" t="s">
        <v>184</v>
      </c>
    </row>
    <row r="98" customFormat="false" ht="15" hidden="false" customHeight="false" outlineLevel="0" collapsed="false">
      <c r="A98" s="11" t="n">
        <v>94</v>
      </c>
      <c r="B98" s="11" t="n">
        <v>3</v>
      </c>
      <c r="C98" s="11"/>
      <c r="D98" s="11"/>
      <c r="E98" s="12" t="s">
        <v>196</v>
      </c>
      <c r="F98" s="12" t="s">
        <v>196</v>
      </c>
      <c r="G98" s="17" t="n">
        <v>46208.75</v>
      </c>
      <c r="H98" s="11" t="s">
        <v>202</v>
      </c>
      <c r="I98" s="11"/>
      <c r="J98" s="11"/>
      <c r="K98" s="11" t="s">
        <v>184</v>
      </c>
    </row>
    <row r="99" customFormat="false" ht="15" hidden="false" customHeight="false" outlineLevel="0" collapsed="false">
      <c r="A99" s="9" t="n">
        <v>95</v>
      </c>
      <c r="B99" s="9" t="n">
        <v>3</v>
      </c>
      <c r="C99" s="9"/>
      <c r="D99" s="9"/>
      <c r="E99" s="10" t="s">
        <v>196</v>
      </c>
      <c r="F99" s="10" t="s">
        <v>196</v>
      </c>
      <c r="G99" s="16" t="n">
        <v>46209.75</v>
      </c>
      <c r="H99" s="9" t="s">
        <v>203</v>
      </c>
      <c r="I99" s="9"/>
      <c r="J99" s="9"/>
      <c r="K99" s="9" t="s">
        <v>184</v>
      </c>
    </row>
    <row r="100" customFormat="false" ht="15" hidden="false" customHeight="false" outlineLevel="0" collapsed="false">
      <c r="A100" s="11" t="n">
        <v>96</v>
      </c>
      <c r="B100" s="11" t="n">
        <v>3</v>
      </c>
      <c r="C100" s="11"/>
      <c r="D100" s="11"/>
      <c r="E100" s="12" t="s">
        <v>196</v>
      </c>
      <c r="F100" s="12" t="s">
        <v>196</v>
      </c>
      <c r="G100" s="17" t="n">
        <v>46209.75</v>
      </c>
      <c r="H100" s="11" t="s">
        <v>204</v>
      </c>
      <c r="I100" s="11"/>
      <c r="J100" s="11"/>
      <c r="K100" s="11" t="s">
        <v>184</v>
      </c>
    </row>
    <row r="101" customFormat="false" ht="15" hidden="false" customHeight="false" outlineLevel="0" collapsed="false">
      <c r="A101" s="9" t="n">
        <v>97</v>
      </c>
      <c r="B101" s="9" t="n">
        <v>4</v>
      </c>
      <c r="C101" s="9"/>
      <c r="D101" s="9"/>
      <c r="E101" s="10" t="s">
        <v>196</v>
      </c>
      <c r="F101" s="10" t="s">
        <v>196</v>
      </c>
      <c r="G101" s="16" t="n">
        <v>46213.75</v>
      </c>
      <c r="H101" s="9" t="s">
        <v>197</v>
      </c>
      <c r="I101" s="9"/>
      <c r="J101" s="9"/>
      <c r="K101" s="9" t="s">
        <v>184</v>
      </c>
    </row>
    <row r="102" customFormat="false" ht="15" hidden="false" customHeight="false" outlineLevel="0" collapsed="false">
      <c r="A102" s="11" t="n">
        <v>98</v>
      </c>
      <c r="B102" s="11" t="n">
        <v>4</v>
      </c>
      <c r="C102" s="11"/>
      <c r="D102" s="11"/>
      <c r="E102" s="12" t="s">
        <v>196</v>
      </c>
      <c r="F102" s="12" t="s">
        <v>196</v>
      </c>
      <c r="G102" s="17" t="n">
        <v>46214.75</v>
      </c>
      <c r="H102" s="11" t="s">
        <v>198</v>
      </c>
      <c r="I102" s="11"/>
      <c r="J102" s="11"/>
      <c r="K102" s="11" t="s">
        <v>184</v>
      </c>
    </row>
    <row r="103" customFormat="false" ht="15" hidden="false" customHeight="false" outlineLevel="0" collapsed="false">
      <c r="A103" s="9" t="n">
        <v>99</v>
      </c>
      <c r="B103" s="9" t="n">
        <v>4</v>
      </c>
      <c r="C103" s="9"/>
      <c r="D103" s="9"/>
      <c r="E103" s="10" t="s">
        <v>196</v>
      </c>
      <c r="F103" s="10" t="s">
        <v>196</v>
      </c>
      <c r="G103" s="16" t="n">
        <v>46215.75</v>
      </c>
      <c r="H103" s="9" t="s">
        <v>199</v>
      </c>
      <c r="I103" s="9"/>
      <c r="J103" s="9"/>
      <c r="K103" s="9" t="s">
        <v>184</v>
      </c>
    </row>
    <row r="104" customFormat="false" ht="15" hidden="false" customHeight="false" outlineLevel="0" collapsed="false">
      <c r="A104" s="11" t="n">
        <v>100</v>
      </c>
      <c r="B104" s="11" t="n">
        <v>4</v>
      </c>
      <c r="C104" s="11"/>
      <c r="D104" s="11"/>
      <c r="E104" s="12" t="s">
        <v>196</v>
      </c>
      <c r="F104" s="12" t="s">
        <v>196</v>
      </c>
      <c r="G104" s="17" t="n">
        <v>46216.75</v>
      </c>
      <c r="H104" s="11" t="s">
        <v>200</v>
      </c>
      <c r="I104" s="11"/>
      <c r="J104" s="11"/>
      <c r="K104" s="11" t="s">
        <v>184</v>
      </c>
    </row>
    <row r="105" customFormat="false" ht="15" hidden="false" customHeight="false" outlineLevel="0" collapsed="false">
      <c r="A105" s="9" t="n">
        <v>101</v>
      </c>
      <c r="B105" s="9" t="n">
        <v>5</v>
      </c>
      <c r="C105" s="9"/>
      <c r="D105" s="9"/>
      <c r="E105" s="10" t="s">
        <v>196</v>
      </c>
      <c r="F105" s="10" t="s">
        <v>196</v>
      </c>
      <c r="G105" s="16" t="n">
        <v>46217.7916666667</v>
      </c>
      <c r="H105" s="9" t="s">
        <v>197</v>
      </c>
      <c r="I105" s="9"/>
      <c r="J105" s="9"/>
      <c r="K105" s="9" t="s">
        <v>184</v>
      </c>
    </row>
    <row r="106" customFormat="false" ht="15" hidden="false" customHeight="false" outlineLevel="0" collapsed="false">
      <c r="A106" s="11" t="n">
        <v>102</v>
      </c>
      <c r="B106" s="11" t="n">
        <v>5</v>
      </c>
      <c r="C106" s="11"/>
      <c r="D106" s="11"/>
      <c r="E106" s="12" t="s">
        <v>196</v>
      </c>
      <c r="F106" s="12" t="s">
        <v>196</v>
      </c>
      <c r="G106" s="17" t="n">
        <v>46219.7916666667</v>
      </c>
      <c r="H106" s="11" t="s">
        <v>198</v>
      </c>
      <c r="I106" s="11"/>
      <c r="J106" s="11"/>
      <c r="K106" s="11" t="s">
        <v>184</v>
      </c>
    </row>
    <row r="107" customFormat="false" ht="15" hidden="false" customHeight="false" outlineLevel="0" collapsed="false">
      <c r="A107" s="9" t="n">
        <v>103</v>
      </c>
      <c r="B107" s="9" t="n">
        <v>6</v>
      </c>
      <c r="C107" s="9"/>
      <c r="D107" s="9"/>
      <c r="E107" s="10" t="s">
        <v>196</v>
      </c>
      <c r="F107" s="10" t="s">
        <v>196</v>
      </c>
      <c r="G107" s="16" t="n">
        <v>46222.7916666667</v>
      </c>
      <c r="H107" s="9" t="s">
        <v>213</v>
      </c>
      <c r="I107" s="9"/>
      <c r="J107" s="9"/>
      <c r="K107" s="9" t="s">
        <v>184</v>
      </c>
    </row>
  </sheetData>
  <conditionalFormatting sqref="K5:K107">
    <cfRule type="expression" priority="2" aboveAverage="0" equalAverage="0" bottom="0" percent="0" rank="0" text="" dxfId="0">
      <formula>K5="FINALIZADO"</formula>
    </cfRule>
    <cfRule type="expression" priority="3" aboveAverage="0" equalAverage="0" bottom="0" percent="0" rank="0" text="" dxfId="1">
      <formula>K5="EN_JUEGO"</formula>
    </cfRule>
  </conditionalFormatting>
  <dataValidations count="1">
    <dataValidation allowBlank="false" errorStyle="stop" operator="between" showDropDown="false" showErrorMessage="false" showInputMessage="false" sqref="K5:K107" type="list">
      <formula1>"PENDIENTE,EN_JUEGO,FINALIZADO,SUSPENDIDO"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E56"/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8"/>
  </cols>
  <sheetData>
    <row r="1" customFormat="false" ht="36" hidden="false" customHeight="true" outlineLevel="0" collapsed="false">
      <c r="A1" s="6" t="s">
        <v>214</v>
      </c>
    </row>
    <row r="2" customFormat="false" ht="19.5" hidden="false" customHeight="true" outlineLevel="0" collapsed="false">
      <c r="A2" s="7" t="s">
        <v>215</v>
      </c>
    </row>
    <row r="4" customFormat="false" ht="15" hidden="false" customHeight="false" outlineLevel="0" collapsed="false">
      <c r="A4" s="18" t="s">
        <v>41</v>
      </c>
      <c r="B4" s="18" t="s">
        <v>216</v>
      </c>
      <c r="C4" s="18" t="s">
        <v>217</v>
      </c>
      <c r="D4" s="18" t="s">
        <v>218</v>
      </c>
      <c r="E4" s="18" t="s">
        <v>219</v>
      </c>
      <c r="F4" s="18" t="s">
        <v>220</v>
      </c>
      <c r="G4" s="18" t="s">
        <v>221</v>
      </c>
    </row>
    <row r="5" customFormat="false" ht="15" hidden="false" customHeight="false" outlineLevel="0" collapsed="false">
      <c r="A5" s="9" t="n">
        <v>1</v>
      </c>
      <c r="B5" s="10" t="s">
        <v>222</v>
      </c>
      <c r="C5" s="10" t="s">
        <v>223</v>
      </c>
      <c r="D5" s="10" t="s">
        <v>224</v>
      </c>
      <c r="E5" s="9" t="s">
        <v>225</v>
      </c>
      <c r="F5" s="9" t="s">
        <v>226</v>
      </c>
      <c r="G5" s="9" t="s">
        <v>227</v>
      </c>
    </row>
    <row r="6" customFormat="false" ht="15" hidden="false" customHeight="false" outlineLevel="0" collapsed="false">
      <c r="A6" s="11" t="n">
        <v>2</v>
      </c>
      <c r="B6" s="12" t="s">
        <v>228</v>
      </c>
      <c r="C6" s="12" t="s">
        <v>229</v>
      </c>
      <c r="D6" s="12" t="s">
        <v>230</v>
      </c>
      <c r="E6" s="11" t="s">
        <v>225</v>
      </c>
      <c r="F6" s="11" t="s">
        <v>231</v>
      </c>
      <c r="G6" s="11" t="s">
        <v>227</v>
      </c>
    </row>
    <row r="7" customFormat="false" ht="15" hidden="false" customHeight="false" outlineLevel="0" collapsed="false">
      <c r="A7" s="9" t="n">
        <v>3</v>
      </c>
      <c r="B7" s="10" t="s">
        <v>232</v>
      </c>
      <c r="C7" s="10" t="s">
        <v>233</v>
      </c>
      <c r="D7" s="10" t="s">
        <v>234</v>
      </c>
      <c r="E7" s="9" t="s">
        <v>225</v>
      </c>
      <c r="F7" s="9" t="s">
        <v>235</v>
      </c>
      <c r="G7" s="9" t="s">
        <v>227</v>
      </c>
    </row>
    <row r="8" customFormat="false" ht="15" hidden="false" customHeight="false" outlineLevel="0" collapsed="false">
      <c r="A8" s="11" t="n">
        <v>4</v>
      </c>
      <c r="B8" s="12" t="s">
        <v>236</v>
      </c>
      <c r="C8" s="12" t="s">
        <v>237</v>
      </c>
      <c r="D8" s="12" t="s">
        <v>238</v>
      </c>
      <c r="E8" s="11" t="s">
        <v>239</v>
      </c>
      <c r="F8" s="11" t="s">
        <v>240</v>
      </c>
      <c r="G8" s="11" t="s">
        <v>227</v>
      </c>
    </row>
  </sheetData>
  <dataValidations count="2">
    <dataValidation allowBlank="false" errorStyle="stop" operator="between" showDropDown="false" showErrorMessage="false" showInputMessage="false" sqref="E5:E200" type="list">
      <formula1>"JUGADOR,ADMIN"</formula1>
      <formula2>0</formula2>
    </dataValidation>
    <dataValidation allowBlank="false" errorStyle="stop" operator="between" showDropDown="false" showErrorMessage="false" showInputMessage="false" sqref="G5:G200" type="list">
      <formula1>"Sí,No"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54F0B"/>
    <pageSetUpPr fitToPage="false"/>
  </sheetPr>
  <dimension ref="A1:M3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7" min="6" style="0" width="20"/>
    <col collapsed="false" customWidth="true" hidden="false" outlineLevel="0" max="8" min="8" style="0" width="18"/>
    <col collapsed="false" customWidth="true" hidden="false" outlineLevel="0" max="10" min="9" style="0" width="10"/>
    <col collapsed="false" customWidth="true" hidden="false" outlineLevel="0" max="11" min="11" style="0" width="14"/>
    <col collapsed="false" customWidth="true" hidden="false" outlineLevel="0" max="12" min="12" style="0" width="8"/>
    <col collapsed="false" customWidth="true" hidden="false" outlineLevel="0" max="13" min="13" style="0" width="14"/>
  </cols>
  <sheetData>
    <row r="1" customFormat="false" ht="36" hidden="false" customHeight="true" outlineLevel="0" collapsed="false">
      <c r="A1" s="6" t="s">
        <v>11</v>
      </c>
    </row>
    <row r="2" customFormat="false" ht="19.5" hidden="false" customHeight="true" outlineLevel="0" collapsed="false">
      <c r="A2" s="7" t="s">
        <v>241</v>
      </c>
    </row>
    <row r="4" customFormat="false" ht="15" hidden="false" customHeight="false" outlineLevel="0" collapsed="false">
      <c r="A4" s="19" t="s">
        <v>41</v>
      </c>
      <c r="B4" s="19" t="s">
        <v>242</v>
      </c>
      <c r="C4" s="19" t="s">
        <v>217</v>
      </c>
      <c r="D4" s="19" t="s">
        <v>243</v>
      </c>
      <c r="E4" s="19" t="s">
        <v>162</v>
      </c>
      <c r="F4" s="19" t="s">
        <v>176</v>
      </c>
      <c r="G4" s="19" t="s">
        <v>177</v>
      </c>
      <c r="H4" s="19" t="s">
        <v>244</v>
      </c>
      <c r="I4" s="19" t="s">
        <v>245</v>
      </c>
      <c r="J4" s="19" t="s">
        <v>246</v>
      </c>
      <c r="K4" s="19" t="s">
        <v>247</v>
      </c>
      <c r="L4" s="19" t="s">
        <v>248</v>
      </c>
      <c r="M4" s="19" t="s">
        <v>249</v>
      </c>
    </row>
    <row r="5" customFormat="false" ht="15" hidden="false" customHeight="false" outlineLevel="0" collapsed="false">
      <c r="A5" s="11" t="n">
        <v>1</v>
      </c>
      <c r="B5" s="11" t="n">
        <v>1</v>
      </c>
      <c r="C5" s="12" t="str">
        <f aca="false">IFERROR(INDEX(Usuarios!$C$5:$C$200,MATCH(B5,Usuarios!$A$5:$A$200,0)),"")</f>
        <v>carlitos</v>
      </c>
      <c r="D5" s="11" t="n">
        <v>1</v>
      </c>
      <c r="E5" s="12" t="str">
        <f aca="false">IFERROR(INDEX(Fases!$B$5:$B$10,MATCH(INDEX(Fixture!$B$5:$B$108,MATCH(D5,Fixture!$A$5:$A$108,0)),Fases!$A$5:$A$10,0)),"")</f>
        <v>Grupos</v>
      </c>
      <c r="F5" s="12" t="str">
        <f aca="false">IFERROR(INDEX(Fixture!$E$5:$E$108,MATCH(D5,Fixture!$A$5:$A$108,0)),"")</f>
        <v>Argentina</v>
      </c>
      <c r="G5" s="12" t="str">
        <f aca="false">IFERROR(INDEX(Fixture!$F$5:$F$108,MATCH(D5,Fixture!$A$5:$A$108,0)),"")</f>
        <v>Bolivia</v>
      </c>
      <c r="H5" s="20" t="n">
        <f aca="false">IFERROR(INDEX(Fixture!$G$5:$G$108,MATCH(D5,Fixture!$A$5:$A$108,0)),"")</f>
        <v>46184.625</v>
      </c>
      <c r="I5" s="21"/>
      <c r="J5" s="21"/>
      <c r="K5" s="12" t="str">
        <f aca="false">IFERROR(INDEX(Fixture!$I$5:$I$108,MATCH(D5,Fixture!$A$5:$A$108,0))&amp;"-"&amp;INDEX(Fixture!$J$5:$J$108,MATCH(D5,Fixture!$A$5:$A$108,0)),"")</f>
        <v>-</v>
      </c>
      <c r="L5" s="11" t="str">
        <f aca="false">IF(M5&lt;&gt;"FINALIZADO","",IF(OR(ISBLANK(I5),ISBLANK(J5)),0,IF(AND(I5=IFERROR(INDEX(Fixture!$I$5:$I$108,MATCH(D5,Fixture!$A$5:$A$108,0)),"-999"),J5=IFERROR(INDEX(Fixture!$J$5:$J$108,MATCH(D5,Fixture!$A$5:$A$108,0)),"-999")),IFERROR(INDEX(Fases!$C$5:$C$10,MATCH(IFERROR(INDEX(Fixture!$B$5:$B$108,MATCH(D5,Fixture!$A$5:$A$108,0)),0),Fases!$A$5:$A$10,0)),0),IF(OR(AND(I5&gt;J5,IFERROR(INDEX(Fixture!$I$5:$I$108,MATCH(D5,Fixture!$A$5:$A$108,0)),0)&gt;IFERROR(INDEX(Fixture!$J$5:$J$108,MATCH(D5,Fixture!$A$5:$A$108,0)),0)),AND(I5&lt;J5,IFERROR(INDEX(Fixture!$I$5:$I$108,MATCH(D5,Fixture!$A$5:$A$108,0)),0)&lt;IFERROR(INDEX(Fixture!$J$5:$J$108,MATCH(D5,Fixture!$A$5:$A$108,0)),0)),AND(I5=J5,IFERROR(INDEX(Fixture!$I$5:$I$108,MATCH(D5,Fixture!$A$5:$A$108,0)),0)=IFERROR(INDEX(Fixture!$J$5:$J$108,MATCH(D5,Fixture!$A$5:$A$108,0)),0))),IFERROR(INDEX(Fases!$D$5:$D$10,MATCH(IFERROR(INDEX(Fixture!$B$5:$B$108,MATCH(D5,Fixture!$A$5:$A$108,0)),0),Fases!$A$5:$A$10,0)),0),0))))</f>
        <v/>
      </c>
      <c r="M5" s="12" t="str">
        <f aca="false">IFERROR(INDEX(Fixture!$K$5:$K$108,MATCH(D5,Fixture!$A$5:$A$108,0)),"")</f>
        <v>PENDIENTE</v>
      </c>
    </row>
    <row r="6" customFormat="false" ht="15" hidden="false" customHeight="false" outlineLevel="0" collapsed="false">
      <c r="A6" s="9" t="n">
        <v>2</v>
      </c>
      <c r="B6" s="9" t="n">
        <v>1</v>
      </c>
      <c r="C6" s="10" t="str">
        <f aca="false">IFERROR(INDEX(Usuarios!$C$5:$C$200,MATCH(B6,Usuarios!$A$5:$A$200,0)),"")</f>
        <v>carlitos</v>
      </c>
      <c r="D6" s="9" t="n">
        <v>2</v>
      </c>
      <c r="E6" s="10" t="str">
        <f aca="false">IFERROR(INDEX(Fases!$B$5:$B$10,MATCH(INDEX(Fixture!$B$5:$B$108,MATCH(D6,Fixture!$A$5:$A$108,0)),Fases!$A$5:$A$10,0)),"")</f>
        <v>Grupos</v>
      </c>
      <c r="F6" s="10" t="str">
        <f aca="false">IFERROR(INDEX(Fixture!$E$5:$E$108,MATCH(D6,Fixture!$A$5:$A$108,0)),"")</f>
        <v>Argentina</v>
      </c>
      <c r="G6" s="10" t="str">
        <f aca="false">IFERROR(INDEX(Fixture!$F$5:$F$108,MATCH(D6,Fixture!$A$5:$A$108,0)),"")</f>
        <v>Ecuador</v>
      </c>
      <c r="H6" s="22" t="n">
        <f aca="false">IFERROR(INDEX(Fixture!$G$5:$G$108,MATCH(D6,Fixture!$A$5:$A$108,0)),"")</f>
        <v>46184.75</v>
      </c>
      <c r="I6" s="23"/>
      <c r="J6" s="23"/>
      <c r="K6" s="10" t="str">
        <f aca="false">IFERROR(INDEX(Fixture!$I$5:$I$108,MATCH(D6,Fixture!$A$5:$A$108,0))&amp;"-"&amp;INDEX(Fixture!$J$5:$J$108,MATCH(D6,Fixture!$A$5:$A$108,0)),"")</f>
        <v>-</v>
      </c>
      <c r="L6" s="9" t="str">
        <f aca="false">IF(M6&lt;&gt;"FINALIZADO","",IF(OR(ISBLANK(I6),ISBLANK(J6)),0,IF(AND(I6=IFERROR(INDEX(Fixture!$I$5:$I$108,MATCH(D6,Fixture!$A$5:$A$108,0)),"-999"),J6=IFERROR(INDEX(Fixture!$J$5:$J$108,MATCH(D6,Fixture!$A$5:$A$108,0)),"-999")),IFERROR(INDEX(Fases!$C$5:$C$10,MATCH(IFERROR(INDEX(Fixture!$B$5:$B$108,MATCH(D6,Fixture!$A$5:$A$108,0)),0),Fases!$A$5:$A$10,0)),0),IF(OR(AND(I6&gt;J6,IFERROR(INDEX(Fixture!$I$5:$I$108,MATCH(D6,Fixture!$A$5:$A$108,0)),0)&gt;IFERROR(INDEX(Fixture!$J$5:$J$108,MATCH(D6,Fixture!$A$5:$A$108,0)),0)),AND(I6&lt;J6,IFERROR(INDEX(Fixture!$I$5:$I$108,MATCH(D6,Fixture!$A$5:$A$108,0)),0)&lt;IFERROR(INDEX(Fixture!$J$5:$J$108,MATCH(D6,Fixture!$A$5:$A$108,0)),0)),AND(I6=J6,IFERROR(INDEX(Fixture!$I$5:$I$108,MATCH(D6,Fixture!$A$5:$A$108,0)),0)=IFERROR(INDEX(Fixture!$J$5:$J$108,MATCH(D6,Fixture!$A$5:$A$108,0)),0))),IFERROR(INDEX(Fases!$D$5:$D$10,MATCH(IFERROR(INDEX(Fixture!$B$5:$B$108,MATCH(D6,Fixture!$A$5:$A$108,0)),0),Fases!$A$5:$A$10,0)),0),0))))</f>
        <v/>
      </c>
      <c r="M6" s="10" t="str">
        <f aca="false">IFERROR(INDEX(Fixture!$K$5:$K$108,MATCH(D6,Fixture!$A$5:$A$108,0)),"")</f>
        <v>PENDIENTE</v>
      </c>
    </row>
    <row r="7" customFormat="false" ht="15" hidden="false" customHeight="false" outlineLevel="0" collapsed="false">
      <c r="A7" s="11" t="n">
        <v>3</v>
      </c>
      <c r="B7" s="11" t="n">
        <v>1</v>
      </c>
      <c r="C7" s="12" t="str">
        <f aca="false">IFERROR(INDEX(Usuarios!$C$5:$C$200,MATCH(B7,Usuarios!$A$5:$A$200,0)),"")</f>
        <v>carlitos</v>
      </c>
      <c r="D7" s="11" t="n">
        <v>3</v>
      </c>
      <c r="E7" s="12" t="str">
        <f aca="false">IFERROR(INDEX(Fases!$B$5:$B$10,MATCH(INDEX(Fixture!$B$5:$B$108,MATCH(D7,Fixture!$A$5:$A$108,0)),Fases!$A$5:$A$10,0)),"")</f>
        <v>Grupos</v>
      </c>
      <c r="F7" s="12" t="str">
        <f aca="false">IFERROR(INDEX(Fixture!$E$5:$E$108,MATCH(D7,Fixture!$A$5:$A$108,0)),"")</f>
        <v>Argentina</v>
      </c>
      <c r="G7" s="12" t="str">
        <f aca="false">IFERROR(INDEX(Fixture!$F$5:$F$108,MATCH(D7,Fixture!$A$5:$A$108,0)),"")</f>
        <v>Uruguay</v>
      </c>
      <c r="H7" s="20" t="n">
        <f aca="false">IFERROR(INDEX(Fixture!$G$5:$G$108,MATCH(D7,Fixture!$A$5:$A$108,0)),"")</f>
        <v>46184.875</v>
      </c>
      <c r="I7" s="21"/>
      <c r="J7" s="21"/>
      <c r="K7" s="12" t="str">
        <f aca="false">IFERROR(INDEX(Fixture!$I$5:$I$108,MATCH(D7,Fixture!$A$5:$A$108,0))&amp;"-"&amp;INDEX(Fixture!$J$5:$J$108,MATCH(D7,Fixture!$A$5:$A$108,0)),"")</f>
        <v>-</v>
      </c>
      <c r="L7" s="11" t="str">
        <f aca="false">IF(M7&lt;&gt;"FINALIZADO","",IF(OR(ISBLANK(I7),ISBLANK(J7)),0,IF(AND(I7=IFERROR(INDEX(Fixture!$I$5:$I$108,MATCH(D7,Fixture!$A$5:$A$108,0)),"-999"),J7=IFERROR(INDEX(Fixture!$J$5:$J$108,MATCH(D7,Fixture!$A$5:$A$108,0)),"-999")),IFERROR(INDEX(Fases!$C$5:$C$10,MATCH(IFERROR(INDEX(Fixture!$B$5:$B$108,MATCH(D7,Fixture!$A$5:$A$108,0)),0),Fases!$A$5:$A$10,0)),0),IF(OR(AND(I7&gt;J7,IFERROR(INDEX(Fixture!$I$5:$I$108,MATCH(D7,Fixture!$A$5:$A$108,0)),0)&gt;IFERROR(INDEX(Fixture!$J$5:$J$108,MATCH(D7,Fixture!$A$5:$A$108,0)),0)),AND(I7&lt;J7,IFERROR(INDEX(Fixture!$I$5:$I$108,MATCH(D7,Fixture!$A$5:$A$108,0)),0)&lt;IFERROR(INDEX(Fixture!$J$5:$J$108,MATCH(D7,Fixture!$A$5:$A$108,0)),0)),AND(I7=J7,IFERROR(INDEX(Fixture!$I$5:$I$108,MATCH(D7,Fixture!$A$5:$A$108,0)),0)=IFERROR(INDEX(Fixture!$J$5:$J$108,MATCH(D7,Fixture!$A$5:$A$108,0)),0))),IFERROR(INDEX(Fases!$D$5:$D$10,MATCH(IFERROR(INDEX(Fixture!$B$5:$B$108,MATCH(D7,Fixture!$A$5:$A$108,0)),0),Fases!$A$5:$A$10,0)),0),0))))</f>
        <v/>
      </c>
      <c r="M7" s="12" t="str">
        <f aca="false">IFERROR(INDEX(Fixture!$K$5:$K$108,MATCH(D7,Fixture!$A$5:$A$108,0)),"")</f>
        <v>PENDIENTE</v>
      </c>
    </row>
    <row r="8" customFormat="false" ht="15" hidden="false" customHeight="false" outlineLevel="0" collapsed="false">
      <c r="A8" s="9" t="n">
        <v>4</v>
      </c>
      <c r="B8" s="9" t="n">
        <v>1</v>
      </c>
      <c r="C8" s="10" t="str">
        <f aca="false">IFERROR(INDEX(Usuarios!$C$5:$C$200,MATCH(B8,Usuarios!$A$5:$A$200,0)),"")</f>
        <v>carlitos</v>
      </c>
      <c r="D8" s="9" t="n">
        <v>4</v>
      </c>
      <c r="E8" s="10" t="str">
        <f aca="false">IFERROR(INDEX(Fases!$B$5:$B$10,MATCH(INDEX(Fixture!$B$5:$B$108,MATCH(D8,Fixture!$A$5:$A$108,0)),Fases!$A$5:$A$10,0)),"")</f>
        <v>Grupos</v>
      </c>
      <c r="F8" s="10" t="str">
        <f aca="false">IFERROR(INDEX(Fixture!$E$5:$E$108,MATCH(D8,Fixture!$A$5:$A$108,0)),"")</f>
        <v>Bolivia</v>
      </c>
      <c r="G8" s="10" t="str">
        <f aca="false">IFERROR(INDEX(Fixture!$F$5:$F$108,MATCH(D8,Fixture!$A$5:$A$108,0)),"")</f>
        <v>Ecuador</v>
      </c>
      <c r="H8" s="22" t="n">
        <f aca="false">IFERROR(INDEX(Fixture!$G$5:$G$108,MATCH(D8,Fixture!$A$5:$A$108,0)),"")</f>
        <v>46185</v>
      </c>
      <c r="I8" s="23"/>
      <c r="J8" s="23"/>
      <c r="K8" s="10" t="str">
        <f aca="false">IFERROR(INDEX(Fixture!$I$5:$I$108,MATCH(D8,Fixture!$A$5:$A$108,0))&amp;"-"&amp;INDEX(Fixture!$J$5:$J$108,MATCH(D8,Fixture!$A$5:$A$108,0)),"")</f>
        <v>-</v>
      </c>
      <c r="L8" s="9" t="str">
        <f aca="false">IF(M8&lt;&gt;"FINALIZADO","",IF(OR(ISBLANK(I8),ISBLANK(J8)),0,IF(AND(I8=IFERROR(INDEX(Fixture!$I$5:$I$108,MATCH(D8,Fixture!$A$5:$A$108,0)),"-999"),J8=IFERROR(INDEX(Fixture!$J$5:$J$108,MATCH(D8,Fixture!$A$5:$A$108,0)),"-999")),IFERROR(INDEX(Fases!$C$5:$C$10,MATCH(IFERROR(INDEX(Fixture!$B$5:$B$108,MATCH(D8,Fixture!$A$5:$A$108,0)),0),Fases!$A$5:$A$10,0)),0),IF(OR(AND(I8&gt;J8,IFERROR(INDEX(Fixture!$I$5:$I$108,MATCH(D8,Fixture!$A$5:$A$108,0)),0)&gt;IFERROR(INDEX(Fixture!$J$5:$J$108,MATCH(D8,Fixture!$A$5:$A$108,0)),0)),AND(I8&lt;J8,IFERROR(INDEX(Fixture!$I$5:$I$108,MATCH(D8,Fixture!$A$5:$A$108,0)),0)&lt;IFERROR(INDEX(Fixture!$J$5:$J$108,MATCH(D8,Fixture!$A$5:$A$108,0)),0)),AND(I8=J8,IFERROR(INDEX(Fixture!$I$5:$I$108,MATCH(D8,Fixture!$A$5:$A$108,0)),0)=IFERROR(INDEX(Fixture!$J$5:$J$108,MATCH(D8,Fixture!$A$5:$A$108,0)),0))),IFERROR(INDEX(Fases!$D$5:$D$10,MATCH(IFERROR(INDEX(Fixture!$B$5:$B$108,MATCH(D8,Fixture!$A$5:$A$108,0)),0),Fases!$A$5:$A$10,0)),0),0))))</f>
        <v/>
      </c>
      <c r="M8" s="10" t="str">
        <f aca="false">IFERROR(INDEX(Fixture!$K$5:$K$108,MATCH(D8,Fixture!$A$5:$A$108,0)),"")</f>
        <v>PENDIENTE</v>
      </c>
    </row>
    <row r="9" customFormat="false" ht="15" hidden="false" customHeight="false" outlineLevel="0" collapsed="false">
      <c r="A9" s="11" t="n">
        <v>5</v>
      </c>
      <c r="B9" s="11" t="n">
        <v>1</v>
      </c>
      <c r="C9" s="12" t="str">
        <f aca="false">IFERROR(INDEX(Usuarios!$C$5:$C$200,MATCH(B9,Usuarios!$A$5:$A$200,0)),"")</f>
        <v>carlitos</v>
      </c>
      <c r="D9" s="11" t="n">
        <v>5</v>
      </c>
      <c r="E9" s="12" t="str">
        <f aca="false">IFERROR(INDEX(Fases!$B$5:$B$10,MATCH(INDEX(Fixture!$B$5:$B$108,MATCH(D9,Fixture!$A$5:$A$108,0)),Fases!$A$5:$A$10,0)),"")</f>
        <v>Grupos</v>
      </c>
      <c r="F9" s="12" t="str">
        <f aca="false">IFERROR(INDEX(Fixture!$E$5:$E$108,MATCH(D9,Fixture!$A$5:$A$108,0)),"")</f>
        <v>Bolivia</v>
      </c>
      <c r="G9" s="12" t="str">
        <f aca="false">IFERROR(INDEX(Fixture!$F$5:$F$108,MATCH(D9,Fixture!$A$5:$A$108,0)),"")</f>
        <v>Uruguay</v>
      </c>
      <c r="H9" s="20" t="n">
        <f aca="false">IFERROR(INDEX(Fixture!$G$5:$G$108,MATCH(D9,Fixture!$A$5:$A$108,0)),"")</f>
        <v>46185.625</v>
      </c>
      <c r="I9" s="21"/>
      <c r="J9" s="21"/>
      <c r="K9" s="12" t="str">
        <f aca="false">IFERROR(INDEX(Fixture!$I$5:$I$108,MATCH(D9,Fixture!$A$5:$A$108,0))&amp;"-"&amp;INDEX(Fixture!$J$5:$J$108,MATCH(D9,Fixture!$A$5:$A$108,0)),"")</f>
        <v>-</v>
      </c>
      <c r="L9" s="11" t="str">
        <f aca="false">IF(M9&lt;&gt;"FINALIZADO","",IF(OR(ISBLANK(I9),ISBLANK(J9)),0,IF(AND(I9=IFERROR(INDEX(Fixture!$I$5:$I$108,MATCH(D9,Fixture!$A$5:$A$108,0)),"-999"),J9=IFERROR(INDEX(Fixture!$J$5:$J$108,MATCH(D9,Fixture!$A$5:$A$108,0)),"-999")),IFERROR(INDEX(Fases!$C$5:$C$10,MATCH(IFERROR(INDEX(Fixture!$B$5:$B$108,MATCH(D9,Fixture!$A$5:$A$108,0)),0),Fases!$A$5:$A$10,0)),0),IF(OR(AND(I9&gt;J9,IFERROR(INDEX(Fixture!$I$5:$I$108,MATCH(D9,Fixture!$A$5:$A$108,0)),0)&gt;IFERROR(INDEX(Fixture!$J$5:$J$108,MATCH(D9,Fixture!$A$5:$A$108,0)),0)),AND(I9&lt;J9,IFERROR(INDEX(Fixture!$I$5:$I$108,MATCH(D9,Fixture!$A$5:$A$108,0)),0)&lt;IFERROR(INDEX(Fixture!$J$5:$J$108,MATCH(D9,Fixture!$A$5:$A$108,0)),0)),AND(I9=J9,IFERROR(INDEX(Fixture!$I$5:$I$108,MATCH(D9,Fixture!$A$5:$A$108,0)),0)=IFERROR(INDEX(Fixture!$J$5:$J$108,MATCH(D9,Fixture!$A$5:$A$108,0)),0))),IFERROR(INDEX(Fases!$D$5:$D$10,MATCH(IFERROR(INDEX(Fixture!$B$5:$B$108,MATCH(D9,Fixture!$A$5:$A$108,0)),0),Fases!$A$5:$A$10,0)),0),0))))</f>
        <v/>
      </c>
      <c r="M9" s="12" t="str">
        <f aca="false">IFERROR(INDEX(Fixture!$K$5:$K$108,MATCH(D9,Fixture!$A$5:$A$108,0)),"")</f>
        <v>PENDIENTE</v>
      </c>
    </row>
    <row r="10" customFormat="false" ht="15" hidden="false" customHeight="false" outlineLevel="0" collapsed="false">
      <c r="A10" s="9" t="n">
        <v>6</v>
      </c>
      <c r="B10" s="9" t="n">
        <v>1</v>
      </c>
      <c r="C10" s="10" t="str">
        <f aca="false">IFERROR(INDEX(Usuarios!$C$5:$C$200,MATCH(B10,Usuarios!$A$5:$A$200,0)),"")</f>
        <v>carlitos</v>
      </c>
      <c r="D10" s="9" t="n">
        <v>6</v>
      </c>
      <c r="E10" s="10" t="str">
        <f aca="false">IFERROR(INDEX(Fases!$B$5:$B$10,MATCH(INDEX(Fixture!$B$5:$B$108,MATCH(D10,Fixture!$A$5:$A$108,0)),Fases!$A$5:$A$10,0)),"")</f>
        <v>Grupos</v>
      </c>
      <c r="F10" s="10" t="str">
        <f aca="false">IFERROR(INDEX(Fixture!$E$5:$E$108,MATCH(D10,Fixture!$A$5:$A$108,0)),"")</f>
        <v>Ecuador</v>
      </c>
      <c r="G10" s="10" t="str">
        <f aca="false">IFERROR(INDEX(Fixture!$F$5:$F$108,MATCH(D10,Fixture!$A$5:$A$108,0)),"")</f>
        <v>Uruguay</v>
      </c>
      <c r="H10" s="22" t="n">
        <f aca="false">IFERROR(INDEX(Fixture!$G$5:$G$108,MATCH(D10,Fixture!$A$5:$A$108,0)),"")</f>
        <v>46185.75</v>
      </c>
      <c r="I10" s="23"/>
      <c r="J10" s="23"/>
      <c r="K10" s="10" t="str">
        <f aca="false">IFERROR(INDEX(Fixture!$I$5:$I$108,MATCH(D10,Fixture!$A$5:$A$108,0))&amp;"-"&amp;INDEX(Fixture!$J$5:$J$108,MATCH(D10,Fixture!$A$5:$A$108,0)),"")</f>
        <v>-</v>
      </c>
      <c r="L10" s="9" t="str">
        <f aca="false">IF(M10&lt;&gt;"FINALIZADO","",IF(OR(ISBLANK(I10),ISBLANK(J10)),0,IF(AND(I10=IFERROR(INDEX(Fixture!$I$5:$I$108,MATCH(D10,Fixture!$A$5:$A$108,0)),"-999"),J10=IFERROR(INDEX(Fixture!$J$5:$J$108,MATCH(D10,Fixture!$A$5:$A$108,0)),"-999")),IFERROR(INDEX(Fases!$C$5:$C$10,MATCH(IFERROR(INDEX(Fixture!$B$5:$B$108,MATCH(D10,Fixture!$A$5:$A$108,0)),0),Fases!$A$5:$A$10,0)),0),IF(OR(AND(I10&gt;J10,IFERROR(INDEX(Fixture!$I$5:$I$108,MATCH(D10,Fixture!$A$5:$A$108,0)),0)&gt;IFERROR(INDEX(Fixture!$J$5:$J$108,MATCH(D10,Fixture!$A$5:$A$108,0)),0)),AND(I10&lt;J10,IFERROR(INDEX(Fixture!$I$5:$I$108,MATCH(D10,Fixture!$A$5:$A$108,0)),0)&lt;IFERROR(INDEX(Fixture!$J$5:$J$108,MATCH(D10,Fixture!$A$5:$A$108,0)),0)),AND(I10=J10,IFERROR(INDEX(Fixture!$I$5:$I$108,MATCH(D10,Fixture!$A$5:$A$108,0)),0)=IFERROR(INDEX(Fixture!$J$5:$J$108,MATCH(D10,Fixture!$A$5:$A$108,0)),0))),IFERROR(INDEX(Fases!$D$5:$D$10,MATCH(IFERROR(INDEX(Fixture!$B$5:$B$108,MATCH(D10,Fixture!$A$5:$A$108,0)),0),Fases!$A$5:$A$10,0)),0),0))))</f>
        <v/>
      </c>
      <c r="M10" s="10" t="str">
        <f aca="false">IFERROR(INDEX(Fixture!$K$5:$K$108,MATCH(D10,Fixture!$A$5:$A$108,0)),"")</f>
        <v>PENDIENTE</v>
      </c>
    </row>
    <row r="11" customFormat="false" ht="15" hidden="false" customHeight="false" outlineLevel="0" collapsed="false">
      <c r="A11" s="11" t="n">
        <v>7</v>
      </c>
      <c r="B11" s="11" t="n">
        <v>1</v>
      </c>
      <c r="C11" s="12" t="str">
        <f aca="false">IFERROR(INDEX(Usuarios!$C$5:$C$200,MATCH(B11,Usuarios!$A$5:$A$200,0)),"")</f>
        <v>carlitos</v>
      </c>
      <c r="D11" s="11" t="n">
        <v>7</v>
      </c>
      <c r="E11" s="12" t="str">
        <f aca="false">IFERROR(INDEX(Fases!$B$5:$B$10,MATCH(INDEX(Fixture!$B$5:$B$108,MATCH(D11,Fixture!$A$5:$A$108,0)),Fases!$A$5:$A$10,0)),"")</f>
        <v>Grupos</v>
      </c>
      <c r="F11" s="12" t="str">
        <f aca="false">IFERROR(INDEX(Fixture!$E$5:$E$108,MATCH(D11,Fixture!$A$5:$A$108,0)),"")</f>
        <v>Brasil</v>
      </c>
      <c r="G11" s="12" t="str">
        <f aca="false">IFERROR(INDEX(Fixture!$F$5:$F$108,MATCH(D11,Fixture!$A$5:$A$108,0)),"")</f>
        <v>Colombia</v>
      </c>
      <c r="H11" s="20" t="n">
        <f aca="false">IFERROR(INDEX(Fixture!$G$5:$G$108,MATCH(D11,Fixture!$A$5:$A$108,0)),"")</f>
        <v>46186.625</v>
      </c>
      <c r="I11" s="21"/>
      <c r="J11" s="21"/>
      <c r="K11" s="12" t="str">
        <f aca="false">IFERROR(INDEX(Fixture!$I$5:$I$108,MATCH(D11,Fixture!$A$5:$A$108,0))&amp;"-"&amp;INDEX(Fixture!$J$5:$J$108,MATCH(D11,Fixture!$A$5:$A$108,0)),"")</f>
        <v>-</v>
      </c>
      <c r="L11" s="11" t="str">
        <f aca="false">IF(M11&lt;&gt;"FINALIZADO","",IF(OR(ISBLANK(I11),ISBLANK(J11)),0,IF(AND(I11=IFERROR(INDEX(Fixture!$I$5:$I$108,MATCH(D11,Fixture!$A$5:$A$108,0)),"-999"),J11=IFERROR(INDEX(Fixture!$J$5:$J$108,MATCH(D11,Fixture!$A$5:$A$108,0)),"-999")),IFERROR(INDEX(Fases!$C$5:$C$10,MATCH(IFERROR(INDEX(Fixture!$B$5:$B$108,MATCH(D11,Fixture!$A$5:$A$108,0)),0),Fases!$A$5:$A$10,0)),0),IF(OR(AND(I11&gt;J11,IFERROR(INDEX(Fixture!$I$5:$I$108,MATCH(D11,Fixture!$A$5:$A$108,0)),0)&gt;IFERROR(INDEX(Fixture!$J$5:$J$108,MATCH(D11,Fixture!$A$5:$A$108,0)),0)),AND(I11&lt;J11,IFERROR(INDEX(Fixture!$I$5:$I$108,MATCH(D11,Fixture!$A$5:$A$108,0)),0)&lt;IFERROR(INDEX(Fixture!$J$5:$J$108,MATCH(D11,Fixture!$A$5:$A$108,0)),0)),AND(I11=J11,IFERROR(INDEX(Fixture!$I$5:$I$108,MATCH(D11,Fixture!$A$5:$A$108,0)),0)=IFERROR(INDEX(Fixture!$J$5:$J$108,MATCH(D11,Fixture!$A$5:$A$108,0)),0))),IFERROR(INDEX(Fases!$D$5:$D$10,MATCH(IFERROR(INDEX(Fixture!$B$5:$B$108,MATCH(D11,Fixture!$A$5:$A$108,0)),0),Fases!$A$5:$A$10,0)),0),0))))</f>
        <v/>
      </c>
      <c r="M11" s="12" t="str">
        <f aca="false">IFERROR(INDEX(Fixture!$K$5:$K$108,MATCH(D11,Fixture!$A$5:$A$108,0)),"")</f>
        <v>PENDIENTE</v>
      </c>
    </row>
    <row r="12" customFormat="false" ht="15" hidden="false" customHeight="false" outlineLevel="0" collapsed="false">
      <c r="A12" s="9" t="n">
        <v>8</v>
      </c>
      <c r="B12" s="9" t="n">
        <v>1</v>
      </c>
      <c r="C12" s="10" t="str">
        <f aca="false">IFERROR(INDEX(Usuarios!$C$5:$C$200,MATCH(B12,Usuarios!$A$5:$A$200,0)),"")</f>
        <v>carlitos</v>
      </c>
      <c r="D12" s="9" t="n">
        <v>8</v>
      </c>
      <c r="E12" s="10" t="str">
        <f aca="false">IFERROR(INDEX(Fases!$B$5:$B$10,MATCH(INDEX(Fixture!$B$5:$B$108,MATCH(D12,Fixture!$A$5:$A$108,0)),Fases!$A$5:$A$10,0)),"")</f>
        <v>Grupos</v>
      </c>
      <c r="F12" s="10" t="str">
        <f aca="false">IFERROR(INDEX(Fixture!$E$5:$E$108,MATCH(D12,Fixture!$A$5:$A$108,0)),"")</f>
        <v>Brasil</v>
      </c>
      <c r="G12" s="10" t="str">
        <f aca="false">IFERROR(INDEX(Fixture!$F$5:$F$108,MATCH(D12,Fixture!$A$5:$A$108,0)),"")</f>
        <v>Venezuela</v>
      </c>
      <c r="H12" s="22" t="n">
        <f aca="false">IFERROR(INDEX(Fixture!$G$5:$G$108,MATCH(D12,Fixture!$A$5:$A$108,0)),"")</f>
        <v>46186.75</v>
      </c>
      <c r="I12" s="23"/>
      <c r="J12" s="23"/>
      <c r="K12" s="10" t="str">
        <f aca="false">IFERROR(INDEX(Fixture!$I$5:$I$108,MATCH(D12,Fixture!$A$5:$A$108,0))&amp;"-"&amp;INDEX(Fixture!$J$5:$J$108,MATCH(D12,Fixture!$A$5:$A$108,0)),"")</f>
        <v>-</v>
      </c>
      <c r="L12" s="9" t="str">
        <f aca="false">IF(M12&lt;&gt;"FINALIZADO","",IF(OR(ISBLANK(I12),ISBLANK(J12)),0,IF(AND(I12=IFERROR(INDEX(Fixture!$I$5:$I$108,MATCH(D12,Fixture!$A$5:$A$108,0)),"-999"),J12=IFERROR(INDEX(Fixture!$J$5:$J$108,MATCH(D12,Fixture!$A$5:$A$108,0)),"-999")),IFERROR(INDEX(Fases!$C$5:$C$10,MATCH(IFERROR(INDEX(Fixture!$B$5:$B$108,MATCH(D12,Fixture!$A$5:$A$108,0)),0),Fases!$A$5:$A$10,0)),0),IF(OR(AND(I12&gt;J12,IFERROR(INDEX(Fixture!$I$5:$I$108,MATCH(D12,Fixture!$A$5:$A$108,0)),0)&gt;IFERROR(INDEX(Fixture!$J$5:$J$108,MATCH(D12,Fixture!$A$5:$A$108,0)),0)),AND(I12&lt;J12,IFERROR(INDEX(Fixture!$I$5:$I$108,MATCH(D12,Fixture!$A$5:$A$108,0)),0)&lt;IFERROR(INDEX(Fixture!$J$5:$J$108,MATCH(D12,Fixture!$A$5:$A$108,0)),0)),AND(I12=J12,IFERROR(INDEX(Fixture!$I$5:$I$108,MATCH(D12,Fixture!$A$5:$A$108,0)),0)=IFERROR(INDEX(Fixture!$J$5:$J$108,MATCH(D12,Fixture!$A$5:$A$108,0)),0))),IFERROR(INDEX(Fases!$D$5:$D$10,MATCH(IFERROR(INDEX(Fixture!$B$5:$B$108,MATCH(D12,Fixture!$A$5:$A$108,0)),0),Fases!$A$5:$A$10,0)),0),0))))</f>
        <v/>
      </c>
      <c r="M12" s="10" t="str">
        <f aca="false">IFERROR(INDEX(Fixture!$K$5:$K$108,MATCH(D12,Fixture!$A$5:$A$108,0)),"")</f>
        <v>PENDIENTE</v>
      </c>
    </row>
    <row r="13" customFormat="false" ht="15" hidden="false" customHeight="false" outlineLevel="0" collapsed="false">
      <c r="A13" s="11" t="n">
        <v>9</v>
      </c>
      <c r="B13" s="11" t="n">
        <v>1</v>
      </c>
      <c r="C13" s="12" t="str">
        <f aca="false">IFERROR(INDEX(Usuarios!$C$5:$C$200,MATCH(B13,Usuarios!$A$5:$A$200,0)),"")</f>
        <v>carlitos</v>
      </c>
      <c r="D13" s="11" t="n">
        <v>9</v>
      </c>
      <c r="E13" s="12" t="str">
        <f aca="false">IFERROR(INDEX(Fases!$B$5:$B$10,MATCH(INDEX(Fixture!$B$5:$B$108,MATCH(D13,Fixture!$A$5:$A$108,0)),Fases!$A$5:$A$10,0)),"")</f>
        <v>Grupos</v>
      </c>
      <c r="F13" s="12" t="str">
        <f aca="false">IFERROR(INDEX(Fixture!$E$5:$E$108,MATCH(D13,Fixture!$A$5:$A$108,0)),"")</f>
        <v>Brasil</v>
      </c>
      <c r="G13" s="12" t="str">
        <f aca="false">IFERROR(INDEX(Fixture!$F$5:$F$108,MATCH(D13,Fixture!$A$5:$A$108,0)),"")</f>
        <v>Paraguay</v>
      </c>
      <c r="H13" s="20" t="n">
        <f aca="false">IFERROR(INDEX(Fixture!$G$5:$G$108,MATCH(D13,Fixture!$A$5:$A$108,0)),"")</f>
        <v>46186.875</v>
      </c>
      <c r="I13" s="21"/>
      <c r="J13" s="21"/>
      <c r="K13" s="12" t="str">
        <f aca="false">IFERROR(INDEX(Fixture!$I$5:$I$108,MATCH(D13,Fixture!$A$5:$A$108,0))&amp;"-"&amp;INDEX(Fixture!$J$5:$J$108,MATCH(D13,Fixture!$A$5:$A$108,0)),"")</f>
        <v>-</v>
      </c>
      <c r="L13" s="11" t="str">
        <f aca="false">IF(M13&lt;&gt;"FINALIZADO","",IF(OR(ISBLANK(I13),ISBLANK(J13)),0,IF(AND(I13=IFERROR(INDEX(Fixture!$I$5:$I$108,MATCH(D13,Fixture!$A$5:$A$108,0)),"-999"),J13=IFERROR(INDEX(Fixture!$J$5:$J$108,MATCH(D13,Fixture!$A$5:$A$108,0)),"-999")),IFERROR(INDEX(Fases!$C$5:$C$10,MATCH(IFERROR(INDEX(Fixture!$B$5:$B$108,MATCH(D13,Fixture!$A$5:$A$108,0)),0),Fases!$A$5:$A$10,0)),0),IF(OR(AND(I13&gt;J13,IFERROR(INDEX(Fixture!$I$5:$I$108,MATCH(D13,Fixture!$A$5:$A$108,0)),0)&gt;IFERROR(INDEX(Fixture!$J$5:$J$108,MATCH(D13,Fixture!$A$5:$A$108,0)),0)),AND(I13&lt;J13,IFERROR(INDEX(Fixture!$I$5:$I$108,MATCH(D13,Fixture!$A$5:$A$108,0)),0)&lt;IFERROR(INDEX(Fixture!$J$5:$J$108,MATCH(D13,Fixture!$A$5:$A$108,0)),0)),AND(I13=J13,IFERROR(INDEX(Fixture!$I$5:$I$108,MATCH(D13,Fixture!$A$5:$A$108,0)),0)=IFERROR(INDEX(Fixture!$J$5:$J$108,MATCH(D13,Fixture!$A$5:$A$108,0)),0))),IFERROR(INDEX(Fases!$D$5:$D$10,MATCH(IFERROR(INDEX(Fixture!$B$5:$B$108,MATCH(D13,Fixture!$A$5:$A$108,0)),0),Fases!$A$5:$A$10,0)),0),0))))</f>
        <v/>
      </c>
      <c r="M13" s="12" t="str">
        <f aca="false">IFERROR(INDEX(Fixture!$K$5:$K$108,MATCH(D13,Fixture!$A$5:$A$108,0)),"")</f>
        <v>PENDIENTE</v>
      </c>
    </row>
    <row r="14" customFormat="false" ht="15" hidden="false" customHeight="false" outlineLevel="0" collapsed="false">
      <c r="A14" s="9" t="n">
        <v>10</v>
      </c>
      <c r="B14" s="9" t="n">
        <v>1</v>
      </c>
      <c r="C14" s="10" t="str">
        <f aca="false">IFERROR(INDEX(Usuarios!$C$5:$C$200,MATCH(B14,Usuarios!$A$5:$A$200,0)),"")</f>
        <v>carlitos</v>
      </c>
      <c r="D14" s="9" t="n">
        <v>10</v>
      </c>
      <c r="E14" s="10" t="str">
        <f aca="false">IFERROR(INDEX(Fases!$B$5:$B$10,MATCH(INDEX(Fixture!$B$5:$B$108,MATCH(D14,Fixture!$A$5:$A$108,0)),Fases!$A$5:$A$10,0)),"")</f>
        <v>Grupos</v>
      </c>
      <c r="F14" s="10" t="str">
        <f aca="false">IFERROR(INDEX(Fixture!$E$5:$E$108,MATCH(D14,Fixture!$A$5:$A$108,0)),"")</f>
        <v>Colombia</v>
      </c>
      <c r="G14" s="10" t="str">
        <f aca="false">IFERROR(INDEX(Fixture!$F$5:$F$108,MATCH(D14,Fixture!$A$5:$A$108,0)),"")</f>
        <v>Venezuela</v>
      </c>
      <c r="H14" s="22" t="n">
        <f aca="false">IFERROR(INDEX(Fixture!$G$5:$G$108,MATCH(D14,Fixture!$A$5:$A$108,0)),"")</f>
        <v>46187</v>
      </c>
      <c r="I14" s="23"/>
      <c r="J14" s="23"/>
      <c r="K14" s="10" t="str">
        <f aca="false">IFERROR(INDEX(Fixture!$I$5:$I$108,MATCH(D14,Fixture!$A$5:$A$108,0))&amp;"-"&amp;INDEX(Fixture!$J$5:$J$108,MATCH(D14,Fixture!$A$5:$A$108,0)),"")</f>
        <v>-</v>
      </c>
      <c r="L14" s="9" t="str">
        <f aca="false">IF(M14&lt;&gt;"FINALIZADO","",IF(OR(ISBLANK(I14),ISBLANK(J14)),0,IF(AND(I14=IFERROR(INDEX(Fixture!$I$5:$I$108,MATCH(D14,Fixture!$A$5:$A$108,0)),"-999"),J14=IFERROR(INDEX(Fixture!$J$5:$J$108,MATCH(D14,Fixture!$A$5:$A$108,0)),"-999")),IFERROR(INDEX(Fases!$C$5:$C$10,MATCH(IFERROR(INDEX(Fixture!$B$5:$B$108,MATCH(D14,Fixture!$A$5:$A$108,0)),0),Fases!$A$5:$A$10,0)),0),IF(OR(AND(I14&gt;J14,IFERROR(INDEX(Fixture!$I$5:$I$108,MATCH(D14,Fixture!$A$5:$A$108,0)),0)&gt;IFERROR(INDEX(Fixture!$J$5:$J$108,MATCH(D14,Fixture!$A$5:$A$108,0)),0)),AND(I14&lt;J14,IFERROR(INDEX(Fixture!$I$5:$I$108,MATCH(D14,Fixture!$A$5:$A$108,0)),0)&lt;IFERROR(INDEX(Fixture!$J$5:$J$108,MATCH(D14,Fixture!$A$5:$A$108,0)),0)),AND(I14=J14,IFERROR(INDEX(Fixture!$I$5:$I$108,MATCH(D14,Fixture!$A$5:$A$108,0)),0)=IFERROR(INDEX(Fixture!$J$5:$J$108,MATCH(D14,Fixture!$A$5:$A$108,0)),0))),IFERROR(INDEX(Fases!$D$5:$D$10,MATCH(IFERROR(INDEX(Fixture!$B$5:$B$108,MATCH(D14,Fixture!$A$5:$A$108,0)),0),Fases!$A$5:$A$10,0)),0),0))))</f>
        <v/>
      </c>
      <c r="M14" s="10" t="str">
        <f aca="false">IFERROR(INDEX(Fixture!$K$5:$K$108,MATCH(D14,Fixture!$A$5:$A$108,0)),"")</f>
        <v>PENDIENTE</v>
      </c>
    </row>
    <row r="15" customFormat="false" ht="15" hidden="false" customHeight="false" outlineLevel="0" collapsed="false">
      <c r="A15" s="11" t="n">
        <v>11</v>
      </c>
      <c r="B15" s="11" t="n">
        <v>1</v>
      </c>
      <c r="C15" s="12" t="str">
        <f aca="false">IFERROR(INDEX(Usuarios!$C$5:$C$200,MATCH(B15,Usuarios!$A$5:$A$200,0)),"")</f>
        <v>carlitos</v>
      </c>
      <c r="D15" s="11" t="n">
        <v>11</v>
      </c>
      <c r="E15" s="12" t="str">
        <f aca="false">IFERROR(INDEX(Fases!$B$5:$B$10,MATCH(INDEX(Fixture!$B$5:$B$108,MATCH(D15,Fixture!$A$5:$A$108,0)),Fases!$A$5:$A$10,0)),"")</f>
        <v>Grupos</v>
      </c>
      <c r="F15" s="12" t="str">
        <f aca="false">IFERROR(INDEX(Fixture!$E$5:$E$108,MATCH(D15,Fixture!$A$5:$A$108,0)),"")</f>
        <v>Colombia</v>
      </c>
      <c r="G15" s="12" t="str">
        <f aca="false">IFERROR(INDEX(Fixture!$F$5:$F$108,MATCH(D15,Fixture!$A$5:$A$108,0)),"")</f>
        <v>Paraguay</v>
      </c>
      <c r="H15" s="20" t="n">
        <f aca="false">IFERROR(INDEX(Fixture!$G$5:$G$108,MATCH(D15,Fixture!$A$5:$A$108,0)),"")</f>
        <v>46187.625</v>
      </c>
      <c r="I15" s="21"/>
      <c r="J15" s="21"/>
      <c r="K15" s="12" t="str">
        <f aca="false">IFERROR(INDEX(Fixture!$I$5:$I$108,MATCH(D15,Fixture!$A$5:$A$108,0))&amp;"-"&amp;INDEX(Fixture!$J$5:$J$108,MATCH(D15,Fixture!$A$5:$A$108,0)),"")</f>
        <v>-</v>
      </c>
      <c r="L15" s="11" t="str">
        <f aca="false">IF(M15&lt;&gt;"FINALIZADO","",IF(OR(ISBLANK(I15),ISBLANK(J15)),0,IF(AND(I15=IFERROR(INDEX(Fixture!$I$5:$I$108,MATCH(D15,Fixture!$A$5:$A$108,0)),"-999"),J15=IFERROR(INDEX(Fixture!$J$5:$J$108,MATCH(D15,Fixture!$A$5:$A$108,0)),"-999")),IFERROR(INDEX(Fases!$C$5:$C$10,MATCH(IFERROR(INDEX(Fixture!$B$5:$B$108,MATCH(D15,Fixture!$A$5:$A$108,0)),0),Fases!$A$5:$A$10,0)),0),IF(OR(AND(I15&gt;J15,IFERROR(INDEX(Fixture!$I$5:$I$108,MATCH(D15,Fixture!$A$5:$A$108,0)),0)&gt;IFERROR(INDEX(Fixture!$J$5:$J$108,MATCH(D15,Fixture!$A$5:$A$108,0)),0)),AND(I15&lt;J15,IFERROR(INDEX(Fixture!$I$5:$I$108,MATCH(D15,Fixture!$A$5:$A$108,0)),0)&lt;IFERROR(INDEX(Fixture!$J$5:$J$108,MATCH(D15,Fixture!$A$5:$A$108,0)),0)),AND(I15=J15,IFERROR(INDEX(Fixture!$I$5:$I$108,MATCH(D15,Fixture!$A$5:$A$108,0)),0)=IFERROR(INDEX(Fixture!$J$5:$J$108,MATCH(D15,Fixture!$A$5:$A$108,0)),0))),IFERROR(INDEX(Fases!$D$5:$D$10,MATCH(IFERROR(INDEX(Fixture!$B$5:$B$108,MATCH(D15,Fixture!$A$5:$A$108,0)),0),Fases!$A$5:$A$10,0)),0),0))))</f>
        <v/>
      </c>
      <c r="M15" s="12" t="str">
        <f aca="false">IFERROR(INDEX(Fixture!$K$5:$K$108,MATCH(D15,Fixture!$A$5:$A$108,0)),"")</f>
        <v>PENDIENTE</v>
      </c>
    </row>
    <row r="16" customFormat="false" ht="15" hidden="false" customHeight="false" outlineLevel="0" collapsed="false">
      <c r="A16" s="9" t="n">
        <v>12</v>
      </c>
      <c r="B16" s="9" t="n">
        <v>1</v>
      </c>
      <c r="C16" s="10" t="str">
        <f aca="false">IFERROR(INDEX(Usuarios!$C$5:$C$200,MATCH(B16,Usuarios!$A$5:$A$200,0)),"")</f>
        <v>carlitos</v>
      </c>
      <c r="D16" s="9" t="n">
        <v>12</v>
      </c>
      <c r="E16" s="10" t="str">
        <f aca="false">IFERROR(INDEX(Fases!$B$5:$B$10,MATCH(INDEX(Fixture!$B$5:$B$108,MATCH(D16,Fixture!$A$5:$A$108,0)),Fases!$A$5:$A$10,0)),"")</f>
        <v>Grupos</v>
      </c>
      <c r="F16" s="10" t="str">
        <f aca="false">IFERROR(INDEX(Fixture!$E$5:$E$108,MATCH(D16,Fixture!$A$5:$A$108,0)),"")</f>
        <v>Venezuela</v>
      </c>
      <c r="G16" s="10" t="str">
        <f aca="false">IFERROR(INDEX(Fixture!$F$5:$F$108,MATCH(D16,Fixture!$A$5:$A$108,0)),"")</f>
        <v>Paraguay</v>
      </c>
      <c r="H16" s="22" t="n">
        <f aca="false">IFERROR(INDEX(Fixture!$G$5:$G$108,MATCH(D16,Fixture!$A$5:$A$108,0)),"")</f>
        <v>46187.75</v>
      </c>
      <c r="I16" s="23"/>
      <c r="J16" s="23"/>
      <c r="K16" s="10" t="str">
        <f aca="false">IFERROR(INDEX(Fixture!$I$5:$I$108,MATCH(D16,Fixture!$A$5:$A$108,0))&amp;"-"&amp;INDEX(Fixture!$J$5:$J$108,MATCH(D16,Fixture!$A$5:$A$108,0)),"")</f>
        <v>-</v>
      </c>
      <c r="L16" s="9" t="str">
        <f aca="false">IF(M16&lt;&gt;"FINALIZADO","",IF(OR(ISBLANK(I16),ISBLANK(J16)),0,IF(AND(I16=IFERROR(INDEX(Fixture!$I$5:$I$108,MATCH(D16,Fixture!$A$5:$A$108,0)),"-999"),J16=IFERROR(INDEX(Fixture!$J$5:$J$108,MATCH(D16,Fixture!$A$5:$A$108,0)),"-999")),IFERROR(INDEX(Fases!$C$5:$C$10,MATCH(IFERROR(INDEX(Fixture!$B$5:$B$108,MATCH(D16,Fixture!$A$5:$A$108,0)),0),Fases!$A$5:$A$10,0)),0),IF(OR(AND(I16&gt;J16,IFERROR(INDEX(Fixture!$I$5:$I$108,MATCH(D16,Fixture!$A$5:$A$108,0)),0)&gt;IFERROR(INDEX(Fixture!$J$5:$J$108,MATCH(D16,Fixture!$A$5:$A$108,0)),0)),AND(I16&lt;J16,IFERROR(INDEX(Fixture!$I$5:$I$108,MATCH(D16,Fixture!$A$5:$A$108,0)),0)&lt;IFERROR(INDEX(Fixture!$J$5:$J$108,MATCH(D16,Fixture!$A$5:$A$108,0)),0)),AND(I16=J16,IFERROR(INDEX(Fixture!$I$5:$I$108,MATCH(D16,Fixture!$A$5:$A$108,0)),0)=IFERROR(INDEX(Fixture!$J$5:$J$108,MATCH(D16,Fixture!$A$5:$A$108,0)),0))),IFERROR(INDEX(Fases!$D$5:$D$10,MATCH(IFERROR(INDEX(Fixture!$B$5:$B$108,MATCH(D16,Fixture!$A$5:$A$108,0)),0),Fases!$A$5:$A$10,0)),0),0))))</f>
        <v/>
      </c>
      <c r="M16" s="10" t="str">
        <f aca="false">IFERROR(INDEX(Fixture!$K$5:$K$108,MATCH(D16,Fixture!$A$5:$A$108,0)),"")</f>
        <v>PENDIENTE</v>
      </c>
    </row>
    <row r="17" customFormat="false" ht="15" hidden="false" customHeight="false" outlineLevel="0" collapsed="false">
      <c r="A17" s="11" t="n">
        <v>13</v>
      </c>
      <c r="B17" s="11" t="n">
        <v>1</v>
      </c>
      <c r="C17" s="12" t="str">
        <f aca="false">IFERROR(INDEX(Usuarios!$C$5:$C$200,MATCH(B17,Usuarios!$A$5:$A$200,0)),"")</f>
        <v>carlitos</v>
      </c>
      <c r="D17" s="11" t="n">
        <v>13</v>
      </c>
      <c r="E17" s="12" t="str">
        <f aca="false">IFERROR(INDEX(Fases!$B$5:$B$10,MATCH(INDEX(Fixture!$B$5:$B$108,MATCH(D17,Fixture!$A$5:$A$108,0)),Fases!$A$5:$A$10,0)),"")</f>
        <v>Grupos</v>
      </c>
      <c r="F17" s="12" t="str">
        <f aca="false">IFERROR(INDEX(Fixture!$E$5:$E$108,MATCH(D17,Fixture!$A$5:$A$108,0)),"")</f>
        <v>México</v>
      </c>
      <c r="G17" s="12" t="str">
        <f aca="false">IFERROR(INDEX(Fixture!$F$5:$F$108,MATCH(D17,Fixture!$A$5:$A$108,0)),"")</f>
        <v>Estados Unidos</v>
      </c>
      <c r="H17" s="20" t="n">
        <f aca="false">IFERROR(INDEX(Fixture!$G$5:$G$108,MATCH(D17,Fixture!$A$5:$A$108,0)),"")</f>
        <v>46188.625</v>
      </c>
      <c r="I17" s="21"/>
      <c r="J17" s="21"/>
      <c r="K17" s="12" t="str">
        <f aca="false">IFERROR(INDEX(Fixture!$I$5:$I$108,MATCH(D17,Fixture!$A$5:$A$108,0))&amp;"-"&amp;INDEX(Fixture!$J$5:$J$108,MATCH(D17,Fixture!$A$5:$A$108,0)),"")</f>
        <v>-</v>
      </c>
      <c r="L17" s="11" t="str">
        <f aca="false">IF(M17&lt;&gt;"FINALIZADO","",IF(OR(ISBLANK(I17),ISBLANK(J17)),0,IF(AND(I17=IFERROR(INDEX(Fixture!$I$5:$I$108,MATCH(D17,Fixture!$A$5:$A$108,0)),"-999"),J17=IFERROR(INDEX(Fixture!$J$5:$J$108,MATCH(D17,Fixture!$A$5:$A$108,0)),"-999")),IFERROR(INDEX(Fases!$C$5:$C$10,MATCH(IFERROR(INDEX(Fixture!$B$5:$B$108,MATCH(D17,Fixture!$A$5:$A$108,0)),0),Fases!$A$5:$A$10,0)),0),IF(OR(AND(I17&gt;J17,IFERROR(INDEX(Fixture!$I$5:$I$108,MATCH(D17,Fixture!$A$5:$A$108,0)),0)&gt;IFERROR(INDEX(Fixture!$J$5:$J$108,MATCH(D17,Fixture!$A$5:$A$108,0)),0)),AND(I17&lt;J17,IFERROR(INDEX(Fixture!$I$5:$I$108,MATCH(D17,Fixture!$A$5:$A$108,0)),0)&lt;IFERROR(INDEX(Fixture!$J$5:$J$108,MATCH(D17,Fixture!$A$5:$A$108,0)),0)),AND(I17=J17,IFERROR(INDEX(Fixture!$I$5:$I$108,MATCH(D17,Fixture!$A$5:$A$108,0)),0)=IFERROR(INDEX(Fixture!$J$5:$J$108,MATCH(D17,Fixture!$A$5:$A$108,0)),0))),IFERROR(INDEX(Fases!$D$5:$D$10,MATCH(IFERROR(INDEX(Fixture!$B$5:$B$108,MATCH(D17,Fixture!$A$5:$A$108,0)),0),Fases!$A$5:$A$10,0)),0),0))))</f>
        <v/>
      </c>
      <c r="M17" s="12" t="str">
        <f aca="false">IFERROR(INDEX(Fixture!$K$5:$K$108,MATCH(D17,Fixture!$A$5:$A$108,0)),"")</f>
        <v>PENDIENTE</v>
      </c>
    </row>
    <row r="18" customFormat="false" ht="15" hidden="false" customHeight="false" outlineLevel="0" collapsed="false">
      <c r="A18" s="9" t="n">
        <v>14</v>
      </c>
      <c r="B18" s="9" t="n">
        <v>1</v>
      </c>
      <c r="C18" s="10" t="str">
        <f aca="false">IFERROR(INDEX(Usuarios!$C$5:$C$200,MATCH(B18,Usuarios!$A$5:$A$200,0)),"")</f>
        <v>carlitos</v>
      </c>
      <c r="D18" s="9" t="n">
        <v>14</v>
      </c>
      <c r="E18" s="10" t="str">
        <f aca="false">IFERROR(INDEX(Fases!$B$5:$B$10,MATCH(INDEX(Fixture!$B$5:$B$108,MATCH(D18,Fixture!$A$5:$A$108,0)),Fases!$A$5:$A$10,0)),"")</f>
        <v>Grupos</v>
      </c>
      <c r="F18" s="10" t="str">
        <f aca="false">IFERROR(INDEX(Fixture!$E$5:$E$108,MATCH(D18,Fixture!$A$5:$A$108,0)),"")</f>
        <v>México</v>
      </c>
      <c r="G18" s="10" t="str">
        <f aca="false">IFERROR(INDEX(Fixture!$F$5:$F$108,MATCH(D18,Fixture!$A$5:$A$108,0)),"")</f>
        <v>Canadá</v>
      </c>
      <c r="H18" s="22" t="n">
        <f aca="false">IFERROR(INDEX(Fixture!$G$5:$G$108,MATCH(D18,Fixture!$A$5:$A$108,0)),"")</f>
        <v>46188.75</v>
      </c>
      <c r="I18" s="23"/>
      <c r="J18" s="23"/>
      <c r="K18" s="10" t="str">
        <f aca="false">IFERROR(INDEX(Fixture!$I$5:$I$108,MATCH(D18,Fixture!$A$5:$A$108,0))&amp;"-"&amp;INDEX(Fixture!$J$5:$J$108,MATCH(D18,Fixture!$A$5:$A$108,0)),"")</f>
        <v>-</v>
      </c>
      <c r="L18" s="9" t="str">
        <f aca="false">IF(M18&lt;&gt;"FINALIZADO","",IF(OR(ISBLANK(I18),ISBLANK(J18)),0,IF(AND(I18=IFERROR(INDEX(Fixture!$I$5:$I$108,MATCH(D18,Fixture!$A$5:$A$108,0)),"-999"),J18=IFERROR(INDEX(Fixture!$J$5:$J$108,MATCH(D18,Fixture!$A$5:$A$108,0)),"-999")),IFERROR(INDEX(Fases!$C$5:$C$10,MATCH(IFERROR(INDEX(Fixture!$B$5:$B$108,MATCH(D18,Fixture!$A$5:$A$108,0)),0),Fases!$A$5:$A$10,0)),0),IF(OR(AND(I18&gt;J18,IFERROR(INDEX(Fixture!$I$5:$I$108,MATCH(D18,Fixture!$A$5:$A$108,0)),0)&gt;IFERROR(INDEX(Fixture!$J$5:$J$108,MATCH(D18,Fixture!$A$5:$A$108,0)),0)),AND(I18&lt;J18,IFERROR(INDEX(Fixture!$I$5:$I$108,MATCH(D18,Fixture!$A$5:$A$108,0)),0)&lt;IFERROR(INDEX(Fixture!$J$5:$J$108,MATCH(D18,Fixture!$A$5:$A$108,0)),0)),AND(I18=J18,IFERROR(INDEX(Fixture!$I$5:$I$108,MATCH(D18,Fixture!$A$5:$A$108,0)),0)=IFERROR(INDEX(Fixture!$J$5:$J$108,MATCH(D18,Fixture!$A$5:$A$108,0)),0))),IFERROR(INDEX(Fases!$D$5:$D$10,MATCH(IFERROR(INDEX(Fixture!$B$5:$B$108,MATCH(D18,Fixture!$A$5:$A$108,0)),0),Fases!$A$5:$A$10,0)),0),0))))</f>
        <v/>
      </c>
      <c r="M18" s="10" t="str">
        <f aca="false">IFERROR(INDEX(Fixture!$K$5:$K$108,MATCH(D18,Fixture!$A$5:$A$108,0)),"")</f>
        <v>PENDIENTE</v>
      </c>
    </row>
    <row r="19" customFormat="false" ht="15" hidden="false" customHeight="false" outlineLevel="0" collapsed="false">
      <c r="A19" s="11" t="n">
        <v>15</v>
      </c>
      <c r="B19" s="11" t="n">
        <v>1</v>
      </c>
      <c r="C19" s="12" t="str">
        <f aca="false">IFERROR(INDEX(Usuarios!$C$5:$C$200,MATCH(B19,Usuarios!$A$5:$A$200,0)),"")</f>
        <v>carlitos</v>
      </c>
      <c r="D19" s="11" t="n">
        <v>15</v>
      </c>
      <c r="E19" s="12" t="str">
        <f aca="false">IFERROR(INDEX(Fases!$B$5:$B$10,MATCH(INDEX(Fixture!$B$5:$B$108,MATCH(D19,Fixture!$A$5:$A$108,0)),Fases!$A$5:$A$10,0)),"")</f>
        <v>Grupos</v>
      </c>
      <c r="F19" s="12" t="str">
        <f aca="false">IFERROR(INDEX(Fixture!$E$5:$E$108,MATCH(D19,Fixture!$A$5:$A$108,0)),"")</f>
        <v>México</v>
      </c>
      <c r="G19" s="12" t="str">
        <f aca="false">IFERROR(INDEX(Fixture!$F$5:$F$108,MATCH(D19,Fixture!$A$5:$A$108,0)),"")</f>
        <v>Costa Rica</v>
      </c>
      <c r="H19" s="20" t="n">
        <f aca="false">IFERROR(INDEX(Fixture!$G$5:$G$108,MATCH(D19,Fixture!$A$5:$A$108,0)),"")</f>
        <v>46188.875</v>
      </c>
      <c r="I19" s="21"/>
      <c r="J19" s="21"/>
      <c r="K19" s="12" t="str">
        <f aca="false">IFERROR(INDEX(Fixture!$I$5:$I$108,MATCH(D19,Fixture!$A$5:$A$108,0))&amp;"-"&amp;INDEX(Fixture!$J$5:$J$108,MATCH(D19,Fixture!$A$5:$A$108,0)),"")</f>
        <v>-</v>
      </c>
      <c r="L19" s="11" t="str">
        <f aca="false">IF(M19&lt;&gt;"FINALIZADO","",IF(OR(ISBLANK(I19),ISBLANK(J19)),0,IF(AND(I19=IFERROR(INDEX(Fixture!$I$5:$I$108,MATCH(D19,Fixture!$A$5:$A$108,0)),"-999"),J19=IFERROR(INDEX(Fixture!$J$5:$J$108,MATCH(D19,Fixture!$A$5:$A$108,0)),"-999")),IFERROR(INDEX(Fases!$C$5:$C$10,MATCH(IFERROR(INDEX(Fixture!$B$5:$B$108,MATCH(D19,Fixture!$A$5:$A$108,0)),0),Fases!$A$5:$A$10,0)),0),IF(OR(AND(I19&gt;J19,IFERROR(INDEX(Fixture!$I$5:$I$108,MATCH(D19,Fixture!$A$5:$A$108,0)),0)&gt;IFERROR(INDEX(Fixture!$J$5:$J$108,MATCH(D19,Fixture!$A$5:$A$108,0)),0)),AND(I19&lt;J19,IFERROR(INDEX(Fixture!$I$5:$I$108,MATCH(D19,Fixture!$A$5:$A$108,0)),0)&lt;IFERROR(INDEX(Fixture!$J$5:$J$108,MATCH(D19,Fixture!$A$5:$A$108,0)),0)),AND(I19=J19,IFERROR(INDEX(Fixture!$I$5:$I$108,MATCH(D19,Fixture!$A$5:$A$108,0)),0)=IFERROR(INDEX(Fixture!$J$5:$J$108,MATCH(D19,Fixture!$A$5:$A$108,0)),0))),IFERROR(INDEX(Fases!$D$5:$D$10,MATCH(IFERROR(INDEX(Fixture!$B$5:$B$108,MATCH(D19,Fixture!$A$5:$A$108,0)),0),Fases!$A$5:$A$10,0)),0),0))))</f>
        <v/>
      </c>
      <c r="M19" s="12" t="str">
        <f aca="false">IFERROR(INDEX(Fixture!$K$5:$K$108,MATCH(D19,Fixture!$A$5:$A$108,0)),"")</f>
        <v>PENDIENTE</v>
      </c>
    </row>
    <row r="20" customFormat="false" ht="15" hidden="false" customHeight="false" outlineLevel="0" collapsed="false">
      <c r="A20" s="9" t="n">
        <v>16</v>
      </c>
      <c r="B20" s="9" t="n">
        <v>1</v>
      </c>
      <c r="C20" s="10" t="str">
        <f aca="false">IFERROR(INDEX(Usuarios!$C$5:$C$200,MATCH(B20,Usuarios!$A$5:$A$200,0)),"")</f>
        <v>carlitos</v>
      </c>
      <c r="D20" s="9" t="n">
        <v>16</v>
      </c>
      <c r="E20" s="10" t="str">
        <f aca="false">IFERROR(INDEX(Fases!$B$5:$B$10,MATCH(INDEX(Fixture!$B$5:$B$108,MATCH(D20,Fixture!$A$5:$A$108,0)),Fases!$A$5:$A$10,0)),"")</f>
        <v>Grupos</v>
      </c>
      <c r="F20" s="10" t="str">
        <f aca="false">IFERROR(INDEX(Fixture!$E$5:$E$108,MATCH(D20,Fixture!$A$5:$A$108,0)),"")</f>
        <v>Estados Unidos</v>
      </c>
      <c r="G20" s="10" t="str">
        <f aca="false">IFERROR(INDEX(Fixture!$F$5:$F$108,MATCH(D20,Fixture!$A$5:$A$108,0)),"")</f>
        <v>Canadá</v>
      </c>
      <c r="H20" s="22" t="n">
        <f aca="false">IFERROR(INDEX(Fixture!$G$5:$G$108,MATCH(D20,Fixture!$A$5:$A$108,0)),"")</f>
        <v>46189</v>
      </c>
      <c r="I20" s="23"/>
      <c r="J20" s="23"/>
      <c r="K20" s="10" t="str">
        <f aca="false">IFERROR(INDEX(Fixture!$I$5:$I$108,MATCH(D20,Fixture!$A$5:$A$108,0))&amp;"-"&amp;INDEX(Fixture!$J$5:$J$108,MATCH(D20,Fixture!$A$5:$A$108,0)),"")</f>
        <v>-</v>
      </c>
      <c r="L20" s="9" t="str">
        <f aca="false">IF(M20&lt;&gt;"FINALIZADO","",IF(OR(ISBLANK(I20),ISBLANK(J20)),0,IF(AND(I20=IFERROR(INDEX(Fixture!$I$5:$I$108,MATCH(D20,Fixture!$A$5:$A$108,0)),"-999"),J20=IFERROR(INDEX(Fixture!$J$5:$J$108,MATCH(D20,Fixture!$A$5:$A$108,0)),"-999")),IFERROR(INDEX(Fases!$C$5:$C$10,MATCH(IFERROR(INDEX(Fixture!$B$5:$B$108,MATCH(D20,Fixture!$A$5:$A$108,0)),0),Fases!$A$5:$A$10,0)),0),IF(OR(AND(I20&gt;J20,IFERROR(INDEX(Fixture!$I$5:$I$108,MATCH(D20,Fixture!$A$5:$A$108,0)),0)&gt;IFERROR(INDEX(Fixture!$J$5:$J$108,MATCH(D20,Fixture!$A$5:$A$108,0)),0)),AND(I20&lt;J20,IFERROR(INDEX(Fixture!$I$5:$I$108,MATCH(D20,Fixture!$A$5:$A$108,0)),0)&lt;IFERROR(INDEX(Fixture!$J$5:$J$108,MATCH(D20,Fixture!$A$5:$A$108,0)),0)),AND(I20=J20,IFERROR(INDEX(Fixture!$I$5:$I$108,MATCH(D20,Fixture!$A$5:$A$108,0)),0)=IFERROR(INDEX(Fixture!$J$5:$J$108,MATCH(D20,Fixture!$A$5:$A$108,0)),0))),IFERROR(INDEX(Fases!$D$5:$D$10,MATCH(IFERROR(INDEX(Fixture!$B$5:$B$108,MATCH(D20,Fixture!$A$5:$A$108,0)),0),Fases!$A$5:$A$10,0)),0),0))))</f>
        <v/>
      </c>
      <c r="M20" s="10" t="str">
        <f aca="false">IFERROR(INDEX(Fixture!$K$5:$K$108,MATCH(D20,Fixture!$A$5:$A$108,0)),"")</f>
        <v>PENDIENTE</v>
      </c>
    </row>
    <row r="21" customFormat="false" ht="15" hidden="false" customHeight="false" outlineLevel="0" collapsed="false">
      <c r="A21" s="11" t="n">
        <v>17</v>
      </c>
      <c r="B21" s="11" t="n">
        <v>1</v>
      </c>
      <c r="C21" s="12" t="str">
        <f aca="false">IFERROR(INDEX(Usuarios!$C$5:$C$200,MATCH(B21,Usuarios!$A$5:$A$200,0)),"")</f>
        <v>carlitos</v>
      </c>
      <c r="D21" s="11" t="n">
        <v>17</v>
      </c>
      <c r="E21" s="12" t="str">
        <f aca="false">IFERROR(INDEX(Fases!$B$5:$B$10,MATCH(INDEX(Fixture!$B$5:$B$108,MATCH(D21,Fixture!$A$5:$A$108,0)),Fases!$A$5:$A$10,0)),"")</f>
        <v>Grupos</v>
      </c>
      <c r="F21" s="12" t="str">
        <f aca="false">IFERROR(INDEX(Fixture!$E$5:$E$108,MATCH(D21,Fixture!$A$5:$A$108,0)),"")</f>
        <v>Estados Unidos</v>
      </c>
      <c r="G21" s="12" t="str">
        <f aca="false">IFERROR(INDEX(Fixture!$F$5:$F$108,MATCH(D21,Fixture!$A$5:$A$108,0)),"")</f>
        <v>Costa Rica</v>
      </c>
      <c r="H21" s="20" t="n">
        <f aca="false">IFERROR(INDEX(Fixture!$G$5:$G$108,MATCH(D21,Fixture!$A$5:$A$108,0)),"")</f>
        <v>46189.625</v>
      </c>
      <c r="I21" s="21"/>
      <c r="J21" s="21"/>
      <c r="K21" s="12" t="str">
        <f aca="false">IFERROR(INDEX(Fixture!$I$5:$I$108,MATCH(D21,Fixture!$A$5:$A$108,0))&amp;"-"&amp;INDEX(Fixture!$J$5:$J$108,MATCH(D21,Fixture!$A$5:$A$108,0)),"")</f>
        <v>-</v>
      </c>
      <c r="L21" s="11" t="str">
        <f aca="false">IF(M21&lt;&gt;"FINALIZADO","",IF(OR(ISBLANK(I21),ISBLANK(J21)),0,IF(AND(I21=IFERROR(INDEX(Fixture!$I$5:$I$108,MATCH(D21,Fixture!$A$5:$A$108,0)),"-999"),J21=IFERROR(INDEX(Fixture!$J$5:$J$108,MATCH(D21,Fixture!$A$5:$A$108,0)),"-999")),IFERROR(INDEX(Fases!$C$5:$C$10,MATCH(IFERROR(INDEX(Fixture!$B$5:$B$108,MATCH(D21,Fixture!$A$5:$A$108,0)),0),Fases!$A$5:$A$10,0)),0),IF(OR(AND(I21&gt;J21,IFERROR(INDEX(Fixture!$I$5:$I$108,MATCH(D21,Fixture!$A$5:$A$108,0)),0)&gt;IFERROR(INDEX(Fixture!$J$5:$J$108,MATCH(D21,Fixture!$A$5:$A$108,0)),0)),AND(I21&lt;J21,IFERROR(INDEX(Fixture!$I$5:$I$108,MATCH(D21,Fixture!$A$5:$A$108,0)),0)&lt;IFERROR(INDEX(Fixture!$J$5:$J$108,MATCH(D21,Fixture!$A$5:$A$108,0)),0)),AND(I21=J21,IFERROR(INDEX(Fixture!$I$5:$I$108,MATCH(D21,Fixture!$A$5:$A$108,0)),0)=IFERROR(INDEX(Fixture!$J$5:$J$108,MATCH(D21,Fixture!$A$5:$A$108,0)),0))),IFERROR(INDEX(Fases!$D$5:$D$10,MATCH(IFERROR(INDEX(Fixture!$B$5:$B$108,MATCH(D21,Fixture!$A$5:$A$108,0)),0),Fases!$A$5:$A$10,0)),0),0))))</f>
        <v/>
      </c>
      <c r="M21" s="12" t="str">
        <f aca="false">IFERROR(INDEX(Fixture!$K$5:$K$108,MATCH(D21,Fixture!$A$5:$A$108,0)),"")</f>
        <v>PENDIENTE</v>
      </c>
    </row>
    <row r="22" customFormat="false" ht="15" hidden="false" customHeight="false" outlineLevel="0" collapsed="false">
      <c r="A22" s="9" t="n">
        <v>18</v>
      </c>
      <c r="B22" s="9" t="n">
        <v>1</v>
      </c>
      <c r="C22" s="10" t="str">
        <f aca="false">IFERROR(INDEX(Usuarios!$C$5:$C$200,MATCH(B22,Usuarios!$A$5:$A$200,0)),"")</f>
        <v>carlitos</v>
      </c>
      <c r="D22" s="9" t="n">
        <v>18</v>
      </c>
      <c r="E22" s="10" t="str">
        <f aca="false">IFERROR(INDEX(Fases!$B$5:$B$10,MATCH(INDEX(Fixture!$B$5:$B$108,MATCH(D22,Fixture!$A$5:$A$108,0)),Fases!$A$5:$A$10,0)),"")</f>
        <v>Grupos</v>
      </c>
      <c r="F22" s="10" t="str">
        <f aca="false">IFERROR(INDEX(Fixture!$E$5:$E$108,MATCH(D22,Fixture!$A$5:$A$108,0)),"")</f>
        <v>Canadá</v>
      </c>
      <c r="G22" s="10" t="str">
        <f aca="false">IFERROR(INDEX(Fixture!$F$5:$F$108,MATCH(D22,Fixture!$A$5:$A$108,0)),"")</f>
        <v>Costa Rica</v>
      </c>
      <c r="H22" s="22" t="n">
        <f aca="false">IFERROR(INDEX(Fixture!$G$5:$G$108,MATCH(D22,Fixture!$A$5:$A$108,0)),"")</f>
        <v>46189.75</v>
      </c>
      <c r="I22" s="23"/>
      <c r="J22" s="23"/>
      <c r="K22" s="10" t="str">
        <f aca="false">IFERROR(INDEX(Fixture!$I$5:$I$108,MATCH(D22,Fixture!$A$5:$A$108,0))&amp;"-"&amp;INDEX(Fixture!$J$5:$J$108,MATCH(D22,Fixture!$A$5:$A$108,0)),"")</f>
        <v>-</v>
      </c>
      <c r="L22" s="9" t="str">
        <f aca="false">IF(M22&lt;&gt;"FINALIZADO","",IF(OR(ISBLANK(I22),ISBLANK(J22)),0,IF(AND(I22=IFERROR(INDEX(Fixture!$I$5:$I$108,MATCH(D22,Fixture!$A$5:$A$108,0)),"-999"),J22=IFERROR(INDEX(Fixture!$J$5:$J$108,MATCH(D22,Fixture!$A$5:$A$108,0)),"-999")),IFERROR(INDEX(Fases!$C$5:$C$10,MATCH(IFERROR(INDEX(Fixture!$B$5:$B$108,MATCH(D22,Fixture!$A$5:$A$108,0)),0),Fases!$A$5:$A$10,0)),0),IF(OR(AND(I22&gt;J22,IFERROR(INDEX(Fixture!$I$5:$I$108,MATCH(D22,Fixture!$A$5:$A$108,0)),0)&gt;IFERROR(INDEX(Fixture!$J$5:$J$108,MATCH(D22,Fixture!$A$5:$A$108,0)),0)),AND(I22&lt;J22,IFERROR(INDEX(Fixture!$I$5:$I$108,MATCH(D22,Fixture!$A$5:$A$108,0)),0)&lt;IFERROR(INDEX(Fixture!$J$5:$J$108,MATCH(D22,Fixture!$A$5:$A$108,0)),0)),AND(I22=J22,IFERROR(INDEX(Fixture!$I$5:$I$108,MATCH(D22,Fixture!$A$5:$A$108,0)),0)=IFERROR(INDEX(Fixture!$J$5:$J$108,MATCH(D22,Fixture!$A$5:$A$108,0)),0))),IFERROR(INDEX(Fases!$D$5:$D$10,MATCH(IFERROR(INDEX(Fixture!$B$5:$B$108,MATCH(D22,Fixture!$A$5:$A$108,0)),0),Fases!$A$5:$A$10,0)),0),0))))</f>
        <v/>
      </c>
      <c r="M22" s="10" t="str">
        <f aca="false">IFERROR(INDEX(Fixture!$K$5:$K$108,MATCH(D22,Fixture!$A$5:$A$108,0)),"")</f>
        <v>PENDIENTE</v>
      </c>
    </row>
    <row r="23" customFormat="false" ht="15" hidden="false" customHeight="false" outlineLevel="0" collapsed="false">
      <c r="A23" s="11" t="n">
        <v>19</v>
      </c>
      <c r="B23" s="11" t="n">
        <v>1</v>
      </c>
      <c r="C23" s="12" t="str">
        <f aca="false">IFERROR(INDEX(Usuarios!$C$5:$C$200,MATCH(B23,Usuarios!$A$5:$A$200,0)),"")</f>
        <v>carlitos</v>
      </c>
      <c r="D23" s="11" t="n">
        <v>19</v>
      </c>
      <c r="E23" s="12" t="str">
        <f aca="false">IFERROR(INDEX(Fases!$B$5:$B$10,MATCH(INDEX(Fixture!$B$5:$B$108,MATCH(D23,Fixture!$A$5:$A$108,0)),Fases!$A$5:$A$10,0)),"")</f>
        <v>Grupos</v>
      </c>
      <c r="F23" s="12" t="str">
        <f aca="false">IFERROR(INDEX(Fixture!$E$5:$E$108,MATCH(D23,Fixture!$A$5:$A$108,0)),"")</f>
        <v>Panamá</v>
      </c>
      <c r="G23" s="12" t="str">
        <f aca="false">IFERROR(INDEX(Fixture!$F$5:$F$108,MATCH(D23,Fixture!$A$5:$A$108,0)),"")</f>
        <v>Honduras</v>
      </c>
      <c r="H23" s="20" t="n">
        <f aca="false">IFERROR(INDEX(Fixture!$G$5:$G$108,MATCH(D23,Fixture!$A$5:$A$108,0)),"")</f>
        <v>46190.625</v>
      </c>
      <c r="I23" s="21"/>
      <c r="J23" s="21"/>
      <c r="K23" s="12" t="str">
        <f aca="false">IFERROR(INDEX(Fixture!$I$5:$I$108,MATCH(D23,Fixture!$A$5:$A$108,0))&amp;"-"&amp;INDEX(Fixture!$J$5:$J$108,MATCH(D23,Fixture!$A$5:$A$108,0)),"")</f>
        <v>-</v>
      </c>
      <c r="L23" s="11" t="str">
        <f aca="false">IF(M23&lt;&gt;"FINALIZADO","",IF(OR(ISBLANK(I23),ISBLANK(J23)),0,IF(AND(I23=IFERROR(INDEX(Fixture!$I$5:$I$108,MATCH(D23,Fixture!$A$5:$A$108,0)),"-999"),J23=IFERROR(INDEX(Fixture!$J$5:$J$108,MATCH(D23,Fixture!$A$5:$A$108,0)),"-999")),IFERROR(INDEX(Fases!$C$5:$C$10,MATCH(IFERROR(INDEX(Fixture!$B$5:$B$108,MATCH(D23,Fixture!$A$5:$A$108,0)),0),Fases!$A$5:$A$10,0)),0),IF(OR(AND(I23&gt;J23,IFERROR(INDEX(Fixture!$I$5:$I$108,MATCH(D23,Fixture!$A$5:$A$108,0)),0)&gt;IFERROR(INDEX(Fixture!$J$5:$J$108,MATCH(D23,Fixture!$A$5:$A$108,0)),0)),AND(I23&lt;J23,IFERROR(INDEX(Fixture!$I$5:$I$108,MATCH(D23,Fixture!$A$5:$A$108,0)),0)&lt;IFERROR(INDEX(Fixture!$J$5:$J$108,MATCH(D23,Fixture!$A$5:$A$108,0)),0)),AND(I23=J23,IFERROR(INDEX(Fixture!$I$5:$I$108,MATCH(D23,Fixture!$A$5:$A$108,0)),0)=IFERROR(INDEX(Fixture!$J$5:$J$108,MATCH(D23,Fixture!$A$5:$A$108,0)),0))),IFERROR(INDEX(Fases!$D$5:$D$10,MATCH(IFERROR(INDEX(Fixture!$B$5:$B$108,MATCH(D23,Fixture!$A$5:$A$108,0)),0),Fases!$A$5:$A$10,0)),0),0))))</f>
        <v/>
      </c>
      <c r="M23" s="12" t="str">
        <f aca="false">IFERROR(INDEX(Fixture!$K$5:$K$108,MATCH(D23,Fixture!$A$5:$A$108,0)),"")</f>
        <v>PENDIENTE</v>
      </c>
    </row>
    <row r="24" customFormat="false" ht="15" hidden="false" customHeight="false" outlineLevel="0" collapsed="false">
      <c r="A24" s="9" t="n">
        <v>20</v>
      </c>
      <c r="B24" s="9" t="n">
        <v>1</v>
      </c>
      <c r="C24" s="10" t="str">
        <f aca="false">IFERROR(INDEX(Usuarios!$C$5:$C$200,MATCH(B24,Usuarios!$A$5:$A$200,0)),"")</f>
        <v>carlitos</v>
      </c>
      <c r="D24" s="9" t="n">
        <v>20</v>
      </c>
      <c r="E24" s="10" t="str">
        <f aca="false">IFERROR(INDEX(Fases!$B$5:$B$10,MATCH(INDEX(Fixture!$B$5:$B$108,MATCH(D24,Fixture!$A$5:$A$108,0)),Fases!$A$5:$A$10,0)),"")</f>
        <v>Grupos</v>
      </c>
      <c r="F24" s="10" t="str">
        <f aca="false">IFERROR(INDEX(Fixture!$E$5:$E$108,MATCH(D24,Fixture!$A$5:$A$108,0)),"")</f>
        <v>Panamá</v>
      </c>
      <c r="G24" s="10" t="str">
        <f aca="false">IFERROR(INDEX(Fixture!$F$5:$F$108,MATCH(D24,Fixture!$A$5:$A$108,0)),"")</f>
        <v>Jamaica</v>
      </c>
      <c r="H24" s="22" t="n">
        <f aca="false">IFERROR(INDEX(Fixture!$G$5:$G$108,MATCH(D24,Fixture!$A$5:$A$108,0)),"")</f>
        <v>46190.75</v>
      </c>
      <c r="I24" s="23"/>
      <c r="J24" s="23"/>
      <c r="K24" s="10" t="str">
        <f aca="false">IFERROR(INDEX(Fixture!$I$5:$I$108,MATCH(D24,Fixture!$A$5:$A$108,0))&amp;"-"&amp;INDEX(Fixture!$J$5:$J$108,MATCH(D24,Fixture!$A$5:$A$108,0)),"")</f>
        <v>-</v>
      </c>
      <c r="L24" s="9" t="str">
        <f aca="false">IF(M24&lt;&gt;"FINALIZADO","",IF(OR(ISBLANK(I24),ISBLANK(J24)),0,IF(AND(I24=IFERROR(INDEX(Fixture!$I$5:$I$108,MATCH(D24,Fixture!$A$5:$A$108,0)),"-999"),J24=IFERROR(INDEX(Fixture!$J$5:$J$108,MATCH(D24,Fixture!$A$5:$A$108,0)),"-999")),IFERROR(INDEX(Fases!$C$5:$C$10,MATCH(IFERROR(INDEX(Fixture!$B$5:$B$108,MATCH(D24,Fixture!$A$5:$A$108,0)),0),Fases!$A$5:$A$10,0)),0),IF(OR(AND(I24&gt;J24,IFERROR(INDEX(Fixture!$I$5:$I$108,MATCH(D24,Fixture!$A$5:$A$108,0)),0)&gt;IFERROR(INDEX(Fixture!$J$5:$J$108,MATCH(D24,Fixture!$A$5:$A$108,0)),0)),AND(I24&lt;J24,IFERROR(INDEX(Fixture!$I$5:$I$108,MATCH(D24,Fixture!$A$5:$A$108,0)),0)&lt;IFERROR(INDEX(Fixture!$J$5:$J$108,MATCH(D24,Fixture!$A$5:$A$108,0)),0)),AND(I24=J24,IFERROR(INDEX(Fixture!$I$5:$I$108,MATCH(D24,Fixture!$A$5:$A$108,0)),0)=IFERROR(INDEX(Fixture!$J$5:$J$108,MATCH(D24,Fixture!$A$5:$A$108,0)),0))),IFERROR(INDEX(Fases!$D$5:$D$10,MATCH(IFERROR(INDEX(Fixture!$B$5:$B$108,MATCH(D24,Fixture!$A$5:$A$108,0)),0),Fases!$A$5:$A$10,0)),0),0))))</f>
        <v/>
      </c>
      <c r="M24" s="10" t="str">
        <f aca="false">IFERROR(INDEX(Fixture!$K$5:$K$108,MATCH(D24,Fixture!$A$5:$A$108,0)),"")</f>
        <v>PENDIENTE</v>
      </c>
    </row>
    <row r="25" customFormat="false" ht="15" hidden="false" customHeight="false" outlineLevel="0" collapsed="false">
      <c r="A25" s="11" t="n">
        <v>21</v>
      </c>
      <c r="B25" s="11" t="n">
        <v>1</v>
      </c>
      <c r="C25" s="12" t="str">
        <f aca="false">IFERROR(INDEX(Usuarios!$C$5:$C$200,MATCH(B25,Usuarios!$A$5:$A$200,0)),"")</f>
        <v>carlitos</v>
      </c>
      <c r="D25" s="11" t="n">
        <v>21</v>
      </c>
      <c r="E25" s="12" t="str">
        <f aca="false">IFERROR(INDEX(Fases!$B$5:$B$10,MATCH(INDEX(Fixture!$B$5:$B$108,MATCH(D25,Fixture!$A$5:$A$108,0)),Fases!$A$5:$A$10,0)),"")</f>
        <v>Grupos</v>
      </c>
      <c r="F25" s="12" t="str">
        <f aca="false">IFERROR(INDEX(Fixture!$E$5:$E$108,MATCH(D25,Fixture!$A$5:$A$108,0)),"")</f>
        <v>Panamá</v>
      </c>
      <c r="G25" s="12" t="str">
        <f aca="false">IFERROR(INDEX(Fixture!$F$5:$F$108,MATCH(D25,Fixture!$A$5:$A$108,0)),"")</f>
        <v>Trinidad y Tobago</v>
      </c>
      <c r="H25" s="20" t="n">
        <f aca="false">IFERROR(INDEX(Fixture!$G$5:$G$108,MATCH(D25,Fixture!$A$5:$A$108,0)),"")</f>
        <v>46190.875</v>
      </c>
      <c r="I25" s="21"/>
      <c r="J25" s="21"/>
      <c r="K25" s="12" t="str">
        <f aca="false">IFERROR(INDEX(Fixture!$I$5:$I$108,MATCH(D25,Fixture!$A$5:$A$108,0))&amp;"-"&amp;INDEX(Fixture!$J$5:$J$108,MATCH(D25,Fixture!$A$5:$A$108,0)),"")</f>
        <v>-</v>
      </c>
      <c r="L25" s="11" t="str">
        <f aca="false">IF(M25&lt;&gt;"FINALIZADO","",IF(OR(ISBLANK(I25),ISBLANK(J25)),0,IF(AND(I25=IFERROR(INDEX(Fixture!$I$5:$I$108,MATCH(D25,Fixture!$A$5:$A$108,0)),"-999"),J25=IFERROR(INDEX(Fixture!$J$5:$J$108,MATCH(D25,Fixture!$A$5:$A$108,0)),"-999")),IFERROR(INDEX(Fases!$C$5:$C$10,MATCH(IFERROR(INDEX(Fixture!$B$5:$B$108,MATCH(D25,Fixture!$A$5:$A$108,0)),0),Fases!$A$5:$A$10,0)),0),IF(OR(AND(I25&gt;J25,IFERROR(INDEX(Fixture!$I$5:$I$108,MATCH(D25,Fixture!$A$5:$A$108,0)),0)&gt;IFERROR(INDEX(Fixture!$J$5:$J$108,MATCH(D25,Fixture!$A$5:$A$108,0)),0)),AND(I25&lt;J25,IFERROR(INDEX(Fixture!$I$5:$I$108,MATCH(D25,Fixture!$A$5:$A$108,0)),0)&lt;IFERROR(INDEX(Fixture!$J$5:$J$108,MATCH(D25,Fixture!$A$5:$A$108,0)),0)),AND(I25=J25,IFERROR(INDEX(Fixture!$I$5:$I$108,MATCH(D25,Fixture!$A$5:$A$108,0)),0)=IFERROR(INDEX(Fixture!$J$5:$J$108,MATCH(D25,Fixture!$A$5:$A$108,0)),0))),IFERROR(INDEX(Fases!$D$5:$D$10,MATCH(IFERROR(INDEX(Fixture!$B$5:$B$108,MATCH(D25,Fixture!$A$5:$A$108,0)),0),Fases!$A$5:$A$10,0)),0),0))))</f>
        <v/>
      </c>
      <c r="M25" s="12" t="str">
        <f aca="false">IFERROR(INDEX(Fixture!$K$5:$K$108,MATCH(D25,Fixture!$A$5:$A$108,0)),"")</f>
        <v>PENDIENTE</v>
      </c>
    </row>
    <row r="26" customFormat="false" ht="15" hidden="false" customHeight="false" outlineLevel="0" collapsed="false">
      <c r="A26" s="9" t="n">
        <v>22</v>
      </c>
      <c r="B26" s="9" t="n">
        <v>1</v>
      </c>
      <c r="C26" s="10" t="str">
        <f aca="false">IFERROR(INDEX(Usuarios!$C$5:$C$200,MATCH(B26,Usuarios!$A$5:$A$200,0)),"")</f>
        <v>carlitos</v>
      </c>
      <c r="D26" s="9" t="n">
        <v>22</v>
      </c>
      <c r="E26" s="10" t="str">
        <f aca="false">IFERROR(INDEX(Fases!$B$5:$B$10,MATCH(INDEX(Fixture!$B$5:$B$108,MATCH(D26,Fixture!$A$5:$A$108,0)),Fases!$A$5:$A$10,0)),"")</f>
        <v>Grupos</v>
      </c>
      <c r="F26" s="10" t="str">
        <f aca="false">IFERROR(INDEX(Fixture!$E$5:$E$108,MATCH(D26,Fixture!$A$5:$A$108,0)),"")</f>
        <v>Honduras</v>
      </c>
      <c r="G26" s="10" t="str">
        <f aca="false">IFERROR(INDEX(Fixture!$F$5:$F$108,MATCH(D26,Fixture!$A$5:$A$108,0)),"")</f>
        <v>Jamaica</v>
      </c>
      <c r="H26" s="22" t="n">
        <f aca="false">IFERROR(INDEX(Fixture!$G$5:$G$108,MATCH(D26,Fixture!$A$5:$A$108,0)),"")</f>
        <v>46191</v>
      </c>
      <c r="I26" s="23"/>
      <c r="J26" s="23"/>
      <c r="K26" s="10" t="str">
        <f aca="false">IFERROR(INDEX(Fixture!$I$5:$I$108,MATCH(D26,Fixture!$A$5:$A$108,0))&amp;"-"&amp;INDEX(Fixture!$J$5:$J$108,MATCH(D26,Fixture!$A$5:$A$108,0)),"")</f>
        <v>-</v>
      </c>
      <c r="L26" s="9" t="str">
        <f aca="false">IF(M26&lt;&gt;"FINALIZADO","",IF(OR(ISBLANK(I26),ISBLANK(J26)),0,IF(AND(I26=IFERROR(INDEX(Fixture!$I$5:$I$108,MATCH(D26,Fixture!$A$5:$A$108,0)),"-999"),J26=IFERROR(INDEX(Fixture!$J$5:$J$108,MATCH(D26,Fixture!$A$5:$A$108,0)),"-999")),IFERROR(INDEX(Fases!$C$5:$C$10,MATCH(IFERROR(INDEX(Fixture!$B$5:$B$108,MATCH(D26,Fixture!$A$5:$A$108,0)),0),Fases!$A$5:$A$10,0)),0),IF(OR(AND(I26&gt;J26,IFERROR(INDEX(Fixture!$I$5:$I$108,MATCH(D26,Fixture!$A$5:$A$108,0)),0)&gt;IFERROR(INDEX(Fixture!$J$5:$J$108,MATCH(D26,Fixture!$A$5:$A$108,0)),0)),AND(I26&lt;J26,IFERROR(INDEX(Fixture!$I$5:$I$108,MATCH(D26,Fixture!$A$5:$A$108,0)),0)&lt;IFERROR(INDEX(Fixture!$J$5:$J$108,MATCH(D26,Fixture!$A$5:$A$108,0)),0)),AND(I26=J26,IFERROR(INDEX(Fixture!$I$5:$I$108,MATCH(D26,Fixture!$A$5:$A$108,0)),0)=IFERROR(INDEX(Fixture!$J$5:$J$108,MATCH(D26,Fixture!$A$5:$A$108,0)),0))),IFERROR(INDEX(Fases!$D$5:$D$10,MATCH(IFERROR(INDEX(Fixture!$B$5:$B$108,MATCH(D26,Fixture!$A$5:$A$108,0)),0),Fases!$A$5:$A$10,0)),0),0))))</f>
        <v/>
      </c>
      <c r="M26" s="10" t="str">
        <f aca="false">IFERROR(INDEX(Fixture!$K$5:$K$108,MATCH(D26,Fixture!$A$5:$A$108,0)),"")</f>
        <v>PENDIENTE</v>
      </c>
    </row>
    <row r="27" customFormat="false" ht="15" hidden="false" customHeight="false" outlineLevel="0" collapsed="false">
      <c r="A27" s="11" t="n">
        <v>23</v>
      </c>
      <c r="B27" s="11" t="n">
        <v>1</v>
      </c>
      <c r="C27" s="12" t="str">
        <f aca="false">IFERROR(INDEX(Usuarios!$C$5:$C$200,MATCH(B27,Usuarios!$A$5:$A$200,0)),"")</f>
        <v>carlitos</v>
      </c>
      <c r="D27" s="11" t="n">
        <v>23</v>
      </c>
      <c r="E27" s="12" t="str">
        <f aca="false">IFERROR(INDEX(Fases!$B$5:$B$10,MATCH(INDEX(Fixture!$B$5:$B$108,MATCH(D27,Fixture!$A$5:$A$108,0)),Fases!$A$5:$A$10,0)),"")</f>
        <v>Grupos</v>
      </c>
      <c r="F27" s="12" t="str">
        <f aca="false">IFERROR(INDEX(Fixture!$E$5:$E$108,MATCH(D27,Fixture!$A$5:$A$108,0)),"")</f>
        <v>Honduras</v>
      </c>
      <c r="G27" s="12" t="str">
        <f aca="false">IFERROR(INDEX(Fixture!$F$5:$F$108,MATCH(D27,Fixture!$A$5:$A$108,0)),"")</f>
        <v>Trinidad y Tobago</v>
      </c>
      <c r="H27" s="20" t="n">
        <f aca="false">IFERROR(INDEX(Fixture!$G$5:$G$108,MATCH(D27,Fixture!$A$5:$A$108,0)),"")</f>
        <v>46191.625</v>
      </c>
      <c r="I27" s="21"/>
      <c r="J27" s="21"/>
      <c r="K27" s="12" t="str">
        <f aca="false">IFERROR(INDEX(Fixture!$I$5:$I$108,MATCH(D27,Fixture!$A$5:$A$108,0))&amp;"-"&amp;INDEX(Fixture!$J$5:$J$108,MATCH(D27,Fixture!$A$5:$A$108,0)),"")</f>
        <v>-</v>
      </c>
      <c r="L27" s="11" t="str">
        <f aca="false">IF(M27&lt;&gt;"FINALIZADO","",IF(OR(ISBLANK(I27),ISBLANK(J27)),0,IF(AND(I27=IFERROR(INDEX(Fixture!$I$5:$I$108,MATCH(D27,Fixture!$A$5:$A$108,0)),"-999"),J27=IFERROR(INDEX(Fixture!$J$5:$J$108,MATCH(D27,Fixture!$A$5:$A$108,0)),"-999")),IFERROR(INDEX(Fases!$C$5:$C$10,MATCH(IFERROR(INDEX(Fixture!$B$5:$B$108,MATCH(D27,Fixture!$A$5:$A$108,0)),0),Fases!$A$5:$A$10,0)),0),IF(OR(AND(I27&gt;J27,IFERROR(INDEX(Fixture!$I$5:$I$108,MATCH(D27,Fixture!$A$5:$A$108,0)),0)&gt;IFERROR(INDEX(Fixture!$J$5:$J$108,MATCH(D27,Fixture!$A$5:$A$108,0)),0)),AND(I27&lt;J27,IFERROR(INDEX(Fixture!$I$5:$I$108,MATCH(D27,Fixture!$A$5:$A$108,0)),0)&lt;IFERROR(INDEX(Fixture!$J$5:$J$108,MATCH(D27,Fixture!$A$5:$A$108,0)),0)),AND(I27=J27,IFERROR(INDEX(Fixture!$I$5:$I$108,MATCH(D27,Fixture!$A$5:$A$108,0)),0)=IFERROR(INDEX(Fixture!$J$5:$J$108,MATCH(D27,Fixture!$A$5:$A$108,0)),0))),IFERROR(INDEX(Fases!$D$5:$D$10,MATCH(IFERROR(INDEX(Fixture!$B$5:$B$108,MATCH(D27,Fixture!$A$5:$A$108,0)),0),Fases!$A$5:$A$10,0)),0),0))))</f>
        <v/>
      </c>
      <c r="M27" s="12" t="str">
        <f aca="false">IFERROR(INDEX(Fixture!$K$5:$K$108,MATCH(D27,Fixture!$A$5:$A$108,0)),"")</f>
        <v>PENDIENTE</v>
      </c>
    </row>
    <row r="28" customFormat="false" ht="15" hidden="false" customHeight="false" outlineLevel="0" collapsed="false">
      <c r="A28" s="9" t="n">
        <v>24</v>
      </c>
      <c r="B28" s="9" t="n">
        <v>1</v>
      </c>
      <c r="C28" s="10" t="str">
        <f aca="false">IFERROR(INDEX(Usuarios!$C$5:$C$200,MATCH(B28,Usuarios!$A$5:$A$200,0)),"")</f>
        <v>carlitos</v>
      </c>
      <c r="D28" s="9" t="n">
        <v>24</v>
      </c>
      <c r="E28" s="10" t="str">
        <f aca="false">IFERROR(INDEX(Fases!$B$5:$B$10,MATCH(INDEX(Fixture!$B$5:$B$108,MATCH(D28,Fixture!$A$5:$A$108,0)),Fases!$A$5:$A$10,0)),"")</f>
        <v>Grupos</v>
      </c>
      <c r="F28" s="10" t="str">
        <f aca="false">IFERROR(INDEX(Fixture!$E$5:$E$108,MATCH(D28,Fixture!$A$5:$A$108,0)),"")</f>
        <v>Jamaica</v>
      </c>
      <c r="G28" s="10" t="str">
        <f aca="false">IFERROR(INDEX(Fixture!$F$5:$F$108,MATCH(D28,Fixture!$A$5:$A$108,0)),"")</f>
        <v>Trinidad y Tobago</v>
      </c>
      <c r="H28" s="22" t="n">
        <f aca="false">IFERROR(INDEX(Fixture!$G$5:$G$108,MATCH(D28,Fixture!$A$5:$A$108,0)),"")</f>
        <v>46191.75</v>
      </c>
      <c r="I28" s="23"/>
      <c r="J28" s="23"/>
      <c r="K28" s="10" t="str">
        <f aca="false">IFERROR(INDEX(Fixture!$I$5:$I$108,MATCH(D28,Fixture!$A$5:$A$108,0))&amp;"-"&amp;INDEX(Fixture!$J$5:$J$108,MATCH(D28,Fixture!$A$5:$A$108,0)),"")</f>
        <v>-</v>
      </c>
      <c r="L28" s="9" t="str">
        <f aca="false">IF(M28&lt;&gt;"FINALIZADO","",IF(OR(ISBLANK(I28),ISBLANK(J28)),0,IF(AND(I28=IFERROR(INDEX(Fixture!$I$5:$I$108,MATCH(D28,Fixture!$A$5:$A$108,0)),"-999"),J28=IFERROR(INDEX(Fixture!$J$5:$J$108,MATCH(D28,Fixture!$A$5:$A$108,0)),"-999")),IFERROR(INDEX(Fases!$C$5:$C$10,MATCH(IFERROR(INDEX(Fixture!$B$5:$B$108,MATCH(D28,Fixture!$A$5:$A$108,0)),0),Fases!$A$5:$A$10,0)),0),IF(OR(AND(I28&gt;J28,IFERROR(INDEX(Fixture!$I$5:$I$108,MATCH(D28,Fixture!$A$5:$A$108,0)),0)&gt;IFERROR(INDEX(Fixture!$J$5:$J$108,MATCH(D28,Fixture!$A$5:$A$108,0)),0)),AND(I28&lt;J28,IFERROR(INDEX(Fixture!$I$5:$I$108,MATCH(D28,Fixture!$A$5:$A$108,0)),0)&lt;IFERROR(INDEX(Fixture!$J$5:$J$108,MATCH(D28,Fixture!$A$5:$A$108,0)),0)),AND(I28=J28,IFERROR(INDEX(Fixture!$I$5:$I$108,MATCH(D28,Fixture!$A$5:$A$108,0)),0)=IFERROR(INDEX(Fixture!$J$5:$J$108,MATCH(D28,Fixture!$A$5:$A$108,0)),0))),IFERROR(INDEX(Fases!$D$5:$D$10,MATCH(IFERROR(INDEX(Fixture!$B$5:$B$108,MATCH(D28,Fixture!$A$5:$A$108,0)),0),Fases!$A$5:$A$10,0)),0),0))))</f>
        <v/>
      </c>
      <c r="M28" s="10" t="str">
        <f aca="false">IFERROR(INDEX(Fixture!$K$5:$K$108,MATCH(D28,Fixture!$A$5:$A$108,0)),"")</f>
        <v>PENDIENTE</v>
      </c>
    </row>
    <row r="29" customFormat="false" ht="15" hidden="false" customHeight="false" outlineLevel="0" collapsed="false">
      <c r="A29" s="11" t="n">
        <v>25</v>
      </c>
      <c r="B29" s="11" t="n">
        <v>1</v>
      </c>
      <c r="C29" s="12" t="str">
        <f aca="false">IFERROR(INDEX(Usuarios!$C$5:$C$200,MATCH(B29,Usuarios!$A$5:$A$200,0)),"")</f>
        <v>carlitos</v>
      </c>
      <c r="D29" s="11" t="n">
        <v>25</v>
      </c>
      <c r="E29" s="12" t="str">
        <f aca="false">IFERROR(INDEX(Fases!$B$5:$B$10,MATCH(INDEX(Fixture!$B$5:$B$108,MATCH(D29,Fixture!$A$5:$A$108,0)),Fases!$A$5:$A$10,0)),"")</f>
        <v>Grupos</v>
      </c>
      <c r="F29" s="12" t="str">
        <f aca="false">IFERROR(INDEX(Fixture!$E$5:$E$108,MATCH(D29,Fixture!$A$5:$A$108,0)),"")</f>
        <v>España</v>
      </c>
      <c r="G29" s="12" t="str">
        <f aca="false">IFERROR(INDEX(Fixture!$F$5:$F$108,MATCH(D29,Fixture!$A$5:$A$108,0)),"")</f>
        <v>Francia</v>
      </c>
      <c r="H29" s="20" t="n">
        <f aca="false">IFERROR(INDEX(Fixture!$G$5:$G$108,MATCH(D29,Fixture!$A$5:$A$108,0)),"")</f>
        <v>46192.625</v>
      </c>
      <c r="I29" s="21"/>
      <c r="J29" s="21"/>
      <c r="K29" s="12" t="str">
        <f aca="false">IFERROR(INDEX(Fixture!$I$5:$I$108,MATCH(D29,Fixture!$A$5:$A$108,0))&amp;"-"&amp;INDEX(Fixture!$J$5:$J$108,MATCH(D29,Fixture!$A$5:$A$108,0)),"")</f>
        <v>-</v>
      </c>
      <c r="L29" s="11" t="str">
        <f aca="false">IF(M29&lt;&gt;"FINALIZADO","",IF(OR(ISBLANK(I29),ISBLANK(J29)),0,IF(AND(I29=IFERROR(INDEX(Fixture!$I$5:$I$108,MATCH(D29,Fixture!$A$5:$A$108,0)),"-999"),J29=IFERROR(INDEX(Fixture!$J$5:$J$108,MATCH(D29,Fixture!$A$5:$A$108,0)),"-999")),IFERROR(INDEX(Fases!$C$5:$C$10,MATCH(IFERROR(INDEX(Fixture!$B$5:$B$108,MATCH(D29,Fixture!$A$5:$A$108,0)),0),Fases!$A$5:$A$10,0)),0),IF(OR(AND(I29&gt;J29,IFERROR(INDEX(Fixture!$I$5:$I$108,MATCH(D29,Fixture!$A$5:$A$108,0)),0)&gt;IFERROR(INDEX(Fixture!$J$5:$J$108,MATCH(D29,Fixture!$A$5:$A$108,0)),0)),AND(I29&lt;J29,IFERROR(INDEX(Fixture!$I$5:$I$108,MATCH(D29,Fixture!$A$5:$A$108,0)),0)&lt;IFERROR(INDEX(Fixture!$J$5:$J$108,MATCH(D29,Fixture!$A$5:$A$108,0)),0)),AND(I29=J29,IFERROR(INDEX(Fixture!$I$5:$I$108,MATCH(D29,Fixture!$A$5:$A$108,0)),0)=IFERROR(INDEX(Fixture!$J$5:$J$108,MATCH(D29,Fixture!$A$5:$A$108,0)),0))),IFERROR(INDEX(Fases!$D$5:$D$10,MATCH(IFERROR(INDEX(Fixture!$B$5:$B$108,MATCH(D29,Fixture!$A$5:$A$108,0)),0),Fases!$A$5:$A$10,0)),0),0))))</f>
        <v/>
      </c>
      <c r="M29" s="12" t="str">
        <f aca="false">IFERROR(INDEX(Fixture!$K$5:$K$108,MATCH(D29,Fixture!$A$5:$A$108,0)),"")</f>
        <v>PENDIENTE</v>
      </c>
    </row>
    <row r="30" customFormat="false" ht="15" hidden="false" customHeight="false" outlineLevel="0" collapsed="false">
      <c r="A30" s="9" t="n">
        <v>26</v>
      </c>
      <c r="B30" s="9" t="n">
        <v>1</v>
      </c>
      <c r="C30" s="10" t="str">
        <f aca="false">IFERROR(INDEX(Usuarios!$C$5:$C$200,MATCH(B30,Usuarios!$A$5:$A$200,0)),"")</f>
        <v>carlitos</v>
      </c>
      <c r="D30" s="9" t="n">
        <v>26</v>
      </c>
      <c r="E30" s="10" t="str">
        <f aca="false">IFERROR(INDEX(Fases!$B$5:$B$10,MATCH(INDEX(Fixture!$B$5:$B$108,MATCH(D30,Fixture!$A$5:$A$108,0)),Fases!$A$5:$A$10,0)),"")</f>
        <v>Grupos</v>
      </c>
      <c r="F30" s="10" t="str">
        <f aca="false">IFERROR(INDEX(Fixture!$E$5:$E$108,MATCH(D30,Fixture!$A$5:$A$108,0)),"")</f>
        <v>España</v>
      </c>
      <c r="G30" s="10" t="str">
        <f aca="false">IFERROR(INDEX(Fixture!$F$5:$F$108,MATCH(D30,Fixture!$A$5:$A$108,0)),"")</f>
        <v>Alemania</v>
      </c>
      <c r="H30" s="22" t="n">
        <f aca="false">IFERROR(INDEX(Fixture!$G$5:$G$108,MATCH(D30,Fixture!$A$5:$A$108,0)),"")</f>
        <v>46192.75</v>
      </c>
      <c r="I30" s="23"/>
      <c r="J30" s="23"/>
      <c r="K30" s="10" t="str">
        <f aca="false">IFERROR(INDEX(Fixture!$I$5:$I$108,MATCH(D30,Fixture!$A$5:$A$108,0))&amp;"-"&amp;INDEX(Fixture!$J$5:$J$108,MATCH(D30,Fixture!$A$5:$A$108,0)),"")</f>
        <v>-</v>
      </c>
      <c r="L30" s="9" t="str">
        <f aca="false">IF(M30&lt;&gt;"FINALIZADO","",IF(OR(ISBLANK(I30),ISBLANK(J30)),0,IF(AND(I30=IFERROR(INDEX(Fixture!$I$5:$I$108,MATCH(D30,Fixture!$A$5:$A$108,0)),"-999"),J30=IFERROR(INDEX(Fixture!$J$5:$J$108,MATCH(D30,Fixture!$A$5:$A$108,0)),"-999")),IFERROR(INDEX(Fases!$C$5:$C$10,MATCH(IFERROR(INDEX(Fixture!$B$5:$B$108,MATCH(D30,Fixture!$A$5:$A$108,0)),0),Fases!$A$5:$A$10,0)),0),IF(OR(AND(I30&gt;J30,IFERROR(INDEX(Fixture!$I$5:$I$108,MATCH(D30,Fixture!$A$5:$A$108,0)),0)&gt;IFERROR(INDEX(Fixture!$J$5:$J$108,MATCH(D30,Fixture!$A$5:$A$108,0)),0)),AND(I30&lt;J30,IFERROR(INDEX(Fixture!$I$5:$I$108,MATCH(D30,Fixture!$A$5:$A$108,0)),0)&lt;IFERROR(INDEX(Fixture!$J$5:$J$108,MATCH(D30,Fixture!$A$5:$A$108,0)),0)),AND(I30=J30,IFERROR(INDEX(Fixture!$I$5:$I$108,MATCH(D30,Fixture!$A$5:$A$108,0)),0)=IFERROR(INDEX(Fixture!$J$5:$J$108,MATCH(D30,Fixture!$A$5:$A$108,0)),0))),IFERROR(INDEX(Fases!$D$5:$D$10,MATCH(IFERROR(INDEX(Fixture!$B$5:$B$108,MATCH(D30,Fixture!$A$5:$A$108,0)),0),Fases!$A$5:$A$10,0)),0),0))))</f>
        <v/>
      </c>
      <c r="M30" s="10" t="str">
        <f aca="false">IFERROR(INDEX(Fixture!$K$5:$K$108,MATCH(D30,Fixture!$A$5:$A$108,0)),"")</f>
        <v>PENDIENTE</v>
      </c>
    </row>
    <row r="31" customFormat="false" ht="15" hidden="false" customHeight="false" outlineLevel="0" collapsed="false">
      <c r="A31" s="11" t="n">
        <v>27</v>
      </c>
      <c r="B31" s="11" t="n">
        <v>1</v>
      </c>
      <c r="C31" s="12" t="str">
        <f aca="false">IFERROR(INDEX(Usuarios!$C$5:$C$200,MATCH(B31,Usuarios!$A$5:$A$200,0)),"")</f>
        <v>carlitos</v>
      </c>
      <c r="D31" s="11" t="n">
        <v>27</v>
      </c>
      <c r="E31" s="12" t="str">
        <f aca="false">IFERROR(INDEX(Fases!$B$5:$B$10,MATCH(INDEX(Fixture!$B$5:$B$108,MATCH(D31,Fixture!$A$5:$A$108,0)),Fases!$A$5:$A$10,0)),"")</f>
        <v>Grupos</v>
      </c>
      <c r="F31" s="12" t="str">
        <f aca="false">IFERROR(INDEX(Fixture!$E$5:$E$108,MATCH(D31,Fixture!$A$5:$A$108,0)),"")</f>
        <v>España</v>
      </c>
      <c r="G31" s="12" t="str">
        <f aca="false">IFERROR(INDEX(Fixture!$F$5:$F$108,MATCH(D31,Fixture!$A$5:$A$108,0)),"")</f>
        <v>Portugal</v>
      </c>
      <c r="H31" s="20" t="n">
        <f aca="false">IFERROR(INDEX(Fixture!$G$5:$G$108,MATCH(D31,Fixture!$A$5:$A$108,0)),"")</f>
        <v>46192.875</v>
      </c>
      <c r="I31" s="21"/>
      <c r="J31" s="21"/>
      <c r="K31" s="12" t="str">
        <f aca="false">IFERROR(INDEX(Fixture!$I$5:$I$108,MATCH(D31,Fixture!$A$5:$A$108,0))&amp;"-"&amp;INDEX(Fixture!$J$5:$J$108,MATCH(D31,Fixture!$A$5:$A$108,0)),"")</f>
        <v>-</v>
      </c>
      <c r="L31" s="11" t="str">
        <f aca="false">IF(M31&lt;&gt;"FINALIZADO","",IF(OR(ISBLANK(I31),ISBLANK(J31)),0,IF(AND(I31=IFERROR(INDEX(Fixture!$I$5:$I$108,MATCH(D31,Fixture!$A$5:$A$108,0)),"-999"),J31=IFERROR(INDEX(Fixture!$J$5:$J$108,MATCH(D31,Fixture!$A$5:$A$108,0)),"-999")),IFERROR(INDEX(Fases!$C$5:$C$10,MATCH(IFERROR(INDEX(Fixture!$B$5:$B$108,MATCH(D31,Fixture!$A$5:$A$108,0)),0),Fases!$A$5:$A$10,0)),0),IF(OR(AND(I31&gt;J31,IFERROR(INDEX(Fixture!$I$5:$I$108,MATCH(D31,Fixture!$A$5:$A$108,0)),0)&gt;IFERROR(INDEX(Fixture!$J$5:$J$108,MATCH(D31,Fixture!$A$5:$A$108,0)),0)),AND(I31&lt;J31,IFERROR(INDEX(Fixture!$I$5:$I$108,MATCH(D31,Fixture!$A$5:$A$108,0)),0)&lt;IFERROR(INDEX(Fixture!$J$5:$J$108,MATCH(D31,Fixture!$A$5:$A$108,0)),0)),AND(I31=J31,IFERROR(INDEX(Fixture!$I$5:$I$108,MATCH(D31,Fixture!$A$5:$A$108,0)),0)=IFERROR(INDEX(Fixture!$J$5:$J$108,MATCH(D31,Fixture!$A$5:$A$108,0)),0))),IFERROR(INDEX(Fases!$D$5:$D$10,MATCH(IFERROR(INDEX(Fixture!$B$5:$B$108,MATCH(D31,Fixture!$A$5:$A$108,0)),0),Fases!$A$5:$A$10,0)),0),0))))</f>
        <v/>
      </c>
      <c r="M31" s="12" t="str">
        <f aca="false">IFERROR(INDEX(Fixture!$K$5:$K$108,MATCH(D31,Fixture!$A$5:$A$108,0)),"")</f>
        <v>PENDIENTE</v>
      </c>
    </row>
    <row r="32" customFormat="false" ht="15" hidden="false" customHeight="false" outlineLevel="0" collapsed="false">
      <c r="A32" s="9" t="n">
        <v>28</v>
      </c>
      <c r="B32" s="9" t="n">
        <v>1</v>
      </c>
      <c r="C32" s="10" t="str">
        <f aca="false">IFERROR(INDEX(Usuarios!$C$5:$C$200,MATCH(B32,Usuarios!$A$5:$A$200,0)),"")</f>
        <v>carlitos</v>
      </c>
      <c r="D32" s="9" t="n">
        <v>28</v>
      </c>
      <c r="E32" s="10" t="str">
        <f aca="false">IFERROR(INDEX(Fases!$B$5:$B$10,MATCH(INDEX(Fixture!$B$5:$B$108,MATCH(D32,Fixture!$A$5:$A$108,0)),Fases!$A$5:$A$10,0)),"")</f>
        <v>Grupos</v>
      </c>
      <c r="F32" s="10" t="str">
        <f aca="false">IFERROR(INDEX(Fixture!$E$5:$E$108,MATCH(D32,Fixture!$A$5:$A$108,0)),"")</f>
        <v>Francia</v>
      </c>
      <c r="G32" s="10" t="str">
        <f aca="false">IFERROR(INDEX(Fixture!$F$5:$F$108,MATCH(D32,Fixture!$A$5:$A$108,0)),"")</f>
        <v>Alemania</v>
      </c>
      <c r="H32" s="22" t="n">
        <f aca="false">IFERROR(INDEX(Fixture!$G$5:$G$108,MATCH(D32,Fixture!$A$5:$A$108,0)),"")</f>
        <v>46193</v>
      </c>
      <c r="I32" s="23"/>
      <c r="J32" s="23"/>
      <c r="K32" s="10" t="str">
        <f aca="false">IFERROR(INDEX(Fixture!$I$5:$I$108,MATCH(D32,Fixture!$A$5:$A$108,0))&amp;"-"&amp;INDEX(Fixture!$J$5:$J$108,MATCH(D32,Fixture!$A$5:$A$108,0)),"")</f>
        <v>-</v>
      </c>
      <c r="L32" s="9" t="str">
        <f aca="false">IF(M32&lt;&gt;"FINALIZADO","",IF(OR(ISBLANK(I32),ISBLANK(J32)),0,IF(AND(I32=IFERROR(INDEX(Fixture!$I$5:$I$108,MATCH(D32,Fixture!$A$5:$A$108,0)),"-999"),J32=IFERROR(INDEX(Fixture!$J$5:$J$108,MATCH(D32,Fixture!$A$5:$A$108,0)),"-999")),IFERROR(INDEX(Fases!$C$5:$C$10,MATCH(IFERROR(INDEX(Fixture!$B$5:$B$108,MATCH(D32,Fixture!$A$5:$A$108,0)),0),Fases!$A$5:$A$10,0)),0),IF(OR(AND(I32&gt;J32,IFERROR(INDEX(Fixture!$I$5:$I$108,MATCH(D32,Fixture!$A$5:$A$108,0)),0)&gt;IFERROR(INDEX(Fixture!$J$5:$J$108,MATCH(D32,Fixture!$A$5:$A$108,0)),0)),AND(I32&lt;J32,IFERROR(INDEX(Fixture!$I$5:$I$108,MATCH(D32,Fixture!$A$5:$A$108,0)),0)&lt;IFERROR(INDEX(Fixture!$J$5:$J$108,MATCH(D32,Fixture!$A$5:$A$108,0)),0)),AND(I32=J32,IFERROR(INDEX(Fixture!$I$5:$I$108,MATCH(D32,Fixture!$A$5:$A$108,0)),0)=IFERROR(INDEX(Fixture!$J$5:$J$108,MATCH(D32,Fixture!$A$5:$A$108,0)),0))),IFERROR(INDEX(Fases!$D$5:$D$10,MATCH(IFERROR(INDEX(Fixture!$B$5:$B$108,MATCH(D32,Fixture!$A$5:$A$108,0)),0),Fases!$A$5:$A$10,0)),0),0))))</f>
        <v/>
      </c>
      <c r="M32" s="10" t="str">
        <f aca="false">IFERROR(INDEX(Fixture!$K$5:$K$108,MATCH(D32,Fixture!$A$5:$A$108,0)),"")</f>
        <v>PENDIENTE</v>
      </c>
    </row>
    <row r="33" customFormat="false" ht="15" hidden="false" customHeight="false" outlineLevel="0" collapsed="false">
      <c r="A33" s="11" t="n">
        <v>29</v>
      </c>
      <c r="B33" s="11" t="n">
        <v>1</v>
      </c>
      <c r="C33" s="12" t="str">
        <f aca="false">IFERROR(INDEX(Usuarios!$C$5:$C$200,MATCH(B33,Usuarios!$A$5:$A$200,0)),"")</f>
        <v>carlitos</v>
      </c>
      <c r="D33" s="11" t="n">
        <v>29</v>
      </c>
      <c r="E33" s="12" t="str">
        <f aca="false">IFERROR(INDEX(Fases!$B$5:$B$10,MATCH(INDEX(Fixture!$B$5:$B$108,MATCH(D33,Fixture!$A$5:$A$108,0)),Fases!$A$5:$A$10,0)),"")</f>
        <v>Grupos</v>
      </c>
      <c r="F33" s="12" t="str">
        <f aca="false">IFERROR(INDEX(Fixture!$E$5:$E$108,MATCH(D33,Fixture!$A$5:$A$108,0)),"")</f>
        <v>Francia</v>
      </c>
      <c r="G33" s="12" t="str">
        <f aca="false">IFERROR(INDEX(Fixture!$F$5:$F$108,MATCH(D33,Fixture!$A$5:$A$108,0)),"")</f>
        <v>Portugal</v>
      </c>
      <c r="H33" s="20" t="n">
        <f aca="false">IFERROR(INDEX(Fixture!$G$5:$G$108,MATCH(D33,Fixture!$A$5:$A$108,0)),"")</f>
        <v>46193.625</v>
      </c>
      <c r="I33" s="21"/>
      <c r="J33" s="21"/>
      <c r="K33" s="12" t="str">
        <f aca="false">IFERROR(INDEX(Fixture!$I$5:$I$108,MATCH(D33,Fixture!$A$5:$A$108,0))&amp;"-"&amp;INDEX(Fixture!$J$5:$J$108,MATCH(D33,Fixture!$A$5:$A$108,0)),"")</f>
        <v>-</v>
      </c>
      <c r="L33" s="11" t="str">
        <f aca="false">IF(M33&lt;&gt;"FINALIZADO","",IF(OR(ISBLANK(I33),ISBLANK(J33)),0,IF(AND(I33=IFERROR(INDEX(Fixture!$I$5:$I$108,MATCH(D33,Fixture!$A$5:$A$108,0)),"-999"),J33=IFERROR(INDEX(Fixture!$J$5:$J$108,MATCH(D33,Fixture!$A$5:$A$108,0)),"-999")),IFERROR(INDEX(Fases!$C$5:$C$10,MATCH(IFERROR(INDEX(Fixture!$B$5:$B$108,MATCH(D33,Fixture!$A$5:$A$108,0)),0),Fases!$A$5:$A$10,0)),0),IF(OR(AND(I33&gt;J33,IFERROR(INDEX(Fixture!$I$5:$I$108,MATCH(D33,Fixture!$A$5:$A$108,0)),0)&gt;IFERROR(INDEX(Fixture!$J$5:$J$108,MATCH(D33,Fixture!$A$5:$A$108,0)),0)),AND(I33&lt;J33,IFERROR(INDEX(Fixture!$I$5:$I$108,MATCH(D33,Fixture!$A$5:$A$108,0)),0)&lt;IFERROR(INDEX(Fixture!$J$5:$J$108,MATCH(D33,Fixture!$A$5:$A$108,0)),0)),AND(I33=J33,IFERROR(INDEX(Fixture!$I$5:$I$108,MATCH(D33,Fixture!$A$5:$A$108,0)),0)=IFERROR(INDEX(Fixture!$J$5:$J$108,MATCH(D33,Fixture!$A$5:$A$108,0)),0))),IFERROR(INDEX(Fases!$D$5:$D$10,MATCH(IFERROR(INDEX(Fixture!$B$5:$B$108,MATCH(D33,Fixture!$A$5:$A$108,0)),0),Fases!$A$5:$A$10,0)),0),0))))</f>
        <v/>
      </c>
      <c r="M33" s="12" t="str">
        <f aca="false">IFERROR(INDEX(Fixture!$K$5:$K$108,MATCH(D33,Fixture!$A$5:$A$108,0)),"")</f>
        <v>PENDIENTE</v>
      </c>
    </row>
    <row r="34" customFormat="false" ht="15" hidden="false" customHeight="false" outlineLevel="0" collapsed="false">
      <c r="A34" s="9" t="n">
        <v>30</v>
      </c>
      <c r="B34" s="9" t="n">
        <v>1</v>
      </c>
      <c r="C34" s="10" t="str">
        <f aca="false">IFERROR(INDEX(Usuarios!$C$5:$C$200,MATCH(B34,Usuarios!$A$5:$A$200,0)),"")</f>
        <v>carlitos</v>
      </c>
      <c r="D34" s="9" t="n">
        <v>30</v>
      </c>
      <c r="E34" s="10" t="str">
        <f aca="false">IFERROR(INDEX(Fases!$B$5:$B$10,MATCH(INDEX(Fixture!$B$5:$B$108,MATCH(D34,Fixture!$A$5:$A$108,0)),Fases!$A$5:$A$10,0)),"")</f>
        <v>Grupos</v>
      </c>
      <c r="F34" s="10" t="str">
        <f aca="false">IFERROR(INDEX(Fixture!$E$5:$E$108,MATCH(D34,Fixture!$A$5:$A$108,0)),"")</f>
        <v>Alemania</v>
      </c>
      <c r="G34" s="10" t="str">
        <f aca="false">IFERROR(INDEX(Fixture!$F$5:$F$108,MATCH(D34,Fixture!$A$5:$A$108,0)),"")</f>
        <v>Portugal</v>
      </c>
      <c r="H34" s="22" t="n">
        <f aca="false">IFERROR(INDEX(Fixture!$G$5:$G$108,MATCH(D34,Fixture!$A$5:$A$108,0)),"")</f>
        <v>46193.75</v>
      </c>
      <c r="I34" s="23"/>
      <c r="J34" s="23"/>
      <c r="K34" s="10" t="str">
        <f aca="false">IFERROR(INDEX(Fixture!$I$5:$I$108,MATCH(D34,Fixture!$A$5:$A$108,0))&amp;"-"&amp;INDEX(Fixture!$J$5:$J$108,MATCH(D34,Fixture!$A$5:$A$108,0)),"")</f>
        <v>-</v>
      </c>
      <c r="L34" s="9" t="str">
        <f aca="false">IF(M34&lt;&gt;"FINALIZADO","",IF(OR(ISBLANK(I34),ISBLANK(J34)),0,IF(AND(I34=IFERROR(INDEX(Fixture!$I$5:$I$108,MATCH(D34,Fixture!$A$5:$A$108,0)),"-999"),J34=IFERROR(INDEX(Fixture!$J$5:$J$108,MATCH(D34,Fixture!$A$5:$A$108,0)),"-999")),IFERROR(INDEX(Fases!$C$5:$C$10,MATCH(IFERROR(INDEX(Fixture!$B$5:$B$108,MATCH(D34,Fixture!$A$5:$A$108,0)),0),Fases!$A$5:$A$10,0)),0),IF(OR(AND(I34&gt;J34,IFERROR(INDEX(Fixture!$I$5:$I$108,MATCH(D34,Fixture!$A$5:$A$108,0)),0)&gt;IFERROR(INDEX(Fixture!$J$5:$J$108,MATCH(D34,Fixture!$A$5:$A$108,0)),0)),AND(I34&lt;J34,IFERROR(INDEX(Fixture!$I$5:$I$108,MATCH(D34,Fixture!$A$5:$A$108,0)),0)&lt;IFERROR(INDEX(Fixture!$J$5:$J$108,MATCH(D34,Fixture!$A$5:$A$108,0)),0)),AND(I34=J34,IFERROR(INDEX(Fixture!$I$5:$I$108,MATCH(D34,Fixture!$A$5:$A$108,0)),0)=IFERROR(INDEX(Fixture!$J$5:$J$108,MATCH(D34,Fixture!$A$5:$A$108,0)),0))),IFERROR(INDEX(Fases!$D$5:$D$10,MATCH(IFERROR(INDEX(Fixture!$B$5:$B$108,MATCH(D34,Fixture!$A$5:$A$108,0)),0),Fases!$A$5:$A$10,0)),0),0))))</f>
        <v/>
      </c>
      <c r="M34" s="10" t="str">
        <f aca="false">IFERROR(INDEX(Fixture!$K$5:$K$108,MATCH(D34,Fixture!$A$5:$A$108,0)),"")</f>
        <v>PENDIENTE</v>
      </c>
    </row>
    <row r="35" customFormat="false" ht="15" hidden="false" customHeight="false" outlineLevel="0" collapsed="false">
      <c r="A35" s="11" t="n">
        <v>31</v>
      </c>
      <c r="B35" s="11" t="n">
        <v>1</v>
      </c>
      <c r="C35" s="12" t="str">
        <f aca="false">IFERROR(INDEX(Usuarios!$C$5:$C$200,MATCH(B35,Usuarios!$A$5:$A$200,0)),"")</f>
        <v>carlitos</v>
      </c>
      <c r="D35" s="11" t="n">
        <v>31</v>
      </c>
      <c r="E35" s="12" t="str">
        <f aca="false">IFERROR(INDEX(Fases!$B$5:$B$10,MATCH(INDEX(Fixture!$B$5:$B$108,MATCH(D35,Fixture!$A$5:$A$108,0)),Fases!$A$5:$A$10,0)),"")</f>
        <v>Grupos</v>
      </c>
      <c r="F35" s="12" t="str">
        <f aca="false">IFERROR(INDEX(Fixture!$E$5:$E$108,MATCH(D35,Fixture!$A$5:$A$108,0)),"")</f>
        <v>Inglaterra</v>
      </c>
      <c r="G35" s="12" t="str">
        <f aca="false">IFERROR(INDEX(Fixture!$F$5:$F$108,MATCH(D35,Fixture!$A$5:$A$108,0)),"")</f>
        <v>Italia</v>
      </c>
      <c r="H35" s="20" t="n">
        <f aca="false">IFERROR(INDEX(Fixture!$G$5:$G$108,MATCH(D35,Fixture!$A$5:$A$108,0)),"")</f>
        <v>46194.625</v>
      </c>
      <c r="I35" s="21"/>
      <c r="J35" s="21"/>
      <c r="K35" s="12" t="str">
        <f aca="false">IFERROR(INDEX(Fixture!$I$5:$I$108,MATCH(D35,Fixture!$A$5:$A$108,0))&amp;"-"&amp;INDEX(Fixture!$J$5:$J$108,MATCH(D35,Fixture!$A$5:$A$108,0)),"")</f>
        <v>-</v>
      </c>
      <c r="L35" s="11" t="str">
        <f aca="false">IF(M35&lt;&gt;"FINALIZADO","",IF(OR(ISBLANK(I35),ISBLANK(J35)),0,IF(AND(I35=IFERROR(INDEX(Fixture!$I$5:$I$108,MATCH(D35,Fixture!$A$5:$A$108,0)),"-999"),J35=IFERROR(INDEX(Fixture!$J$5:$J$108,MATCH(D35,Fixture!$A$5:$A$108,0)),"-999")),IFERROR(INDEX(Fases!$C$5:$C$10,MATCH(IFERROR(INDEX(Fixture!$B$5:$B$108,MATCH(D35,Fixture!$A$5:$A$108,0)),0),Fases!$A$5:$A$10,0)),0),IF(OR(AND(I35&gt;J35,IFERROR(INDEX(Fixture!$I$5:$I$108,MATCH(D35,Fixture!$A$5:$A$108,0)),0)&gt;IFERROR(INDEX(Fixture!$J$5:$J$108,MATCH(D35,Fixture!$A$5:$A$108,0)),0)),AND(I35&lt;J35,IFERROR(INDEX(Fixture!$I$5:$I$108,MATCH(D35,Fixture!$A$5:$A$108,0)),0)&lt;IFERROR(INDEX(Fixture!$J$5:$J$108,MATCH(D35,Fixture!$A$5:$A$108,0)),0)),AND(I35=J35,IFERROR(INDEX(Fixture!$I$5:$I$108,MATCH(D35,Fixture!$A$5:$A$108,0)),0)=IFERROR(INDEX(Fixture!$J$5:$J$108,MATCH(D35,Fixture!$A$5:$A$108,0)),0))),IFERROR(INDEX(Fases!$D$5:$D$10,MATCH(IFERROR(INDEX(Fixture!$B$5:$B$108,MATCH(D35,Fixture!$A$5:$A$108,0)),0),Fases!$A$5:$A$10,0)),0),0))))</f>
        <v/>
      </c>
      <c r="M35" s="12" t="str">
        <f aca="false">IFERROR(INDEX(Fixture!$K$5:$K$108,MATCH(D35,Fixture!$A$5:$A$108,0)),"")</f>
        <v>PENDIENTE</v>
      </c>
    </row>
    <row r="36" customFormat="false" ht="15" hidden="false" customHeight="false" outlineLevel="0" collapsed="false">
      <c r="A36" s="9" t="n">
        <v>32</v>
      </c>
      <c r="B36" s="9" t="n">
        <v>1</v>
      </c>
      <c r="C36" s="10" t="str">
        <f aca="false">IFERROR(INDEX(Usuarios!$C$5:$C$200,MATCH(B36,Usuarios!$A$5:$A$200,0)),"")</f>
        <v>carlitos</v>
      </c>
      <c r="D36" s="9" t="n">
        <v>32</v>
      </c>
      <c r="E36" s="10" t="str">
        <f aca="false">IFERROR(INDEX(Fases!$B$5:$B$10,MATCH(INDEX(Fixture!$B$5:$B$108,MATCH(D36,Fixture!$A$5:$A$108,0)),Fases!$A$5:$A$10,0)),"")</f>
        <v>Grupos</v>
      </c>
      <c r="F36" s="10" t="str">
        <f aca="false">IFERROR(INDEX(Fixture!$E$5:$E$108,MATCH(D36,Fixture!$A$5:$A$108,0)),"")</f>
        <v>Inglaterra</v>
      </c>
      <c r="G36" s="10" t="str">
        <f aca="false">IFERROR(INDEX(Fixture!$F$5:$F$108,MATCH(D36,Fixture!$A$5:$A$108,0)),"")</f>
        <v>Países Bajos</v>
      </c>
      <c r="H36" s="22" t="n">
        <f aca="false">IFERROR(INDEX(Fixture!$G$5:$G$108,MATCH(D36,Fixture!$A$5:$A$108,0)),"")</f>
        <v>46194.75</v>
      </c>
      <c r="I36" s="23"/>
      <c r="J36" s="23"/>
      <c r="K36" s="10" t="str">
        <f aca="false">IFERROR(INDEX(Fixture!$I$5:$I$108,MATCH(D36,Fixture!$A$5:$A$108,0))&amp;"-"&amp;INDEX(Fixture!$J$5:$J$108,MATCH(D36,Fixture!$A$5:$A$108,0)),"")</f>
        <v>-</v>
      </c>
      <c r="L36" s="9" t="str">
        <f aca="false">IF(M36&lt;&gt;"FINALIZADO","",IF(OR(ISBLANK(I36),ISBLANK(J36)),0,IF(AND(I36=IFERROR(INDEX(Fixture!$I$5:$I$108,MATCH(D36,Fixture!$A$5:$A$108,0)),"-999"),J36=IFERROR(INDEX(Fixture!$J$5:$J$108,MATCH(D36,Fixture!$A$5:$A$108,0)),"-999")),IFERROR(INDEX(Fases!$C$5:$C$10,MATCH(IFERROR(INDEX(Fixture!$B$5:$B$108,MATCH(D36,Fixture!$A$5:$A$108,0)),0),Fases!$A$5:$A$10,0)),0),IF(OR(AND(I36&gt;J36,IFERROR(INDEX(Fixture!$I$5:$I$108,MATCH(D36,Fixture!$A$5:$A$108,0)),0)&gt;IFERROR(INDEX(Fixture!$J$5:$J$108,MATCH(D36,Fixture!$A$5:$A$108,0)),0)),AND(I36&lt;J36,IFERROR(INDEX(Fixture!$I$5:$I$108,MATCH(D36,Fixture!$A$5:$A$108,0)),0)&lt;IFERROR(INDEX(Fixture!$J$5:$J$108,MATCH(D36,Fixture!$A$5:$A$108,0)),0)),AND(I36=J36,IFERROR(INDEX(Fixture!$I$5:$I$108,MATCH(D36,Fixture!$A$5:$A$108,0)),0)=IFERROR(INDEX(Fixture!$J$5:$J$108,MATCH(D36,Fixture!$A$5:$A$108,0)),0))),IFERROR(INDEX(Fases!$D$5:$D$10,MATCH(IFERROR(INDEX(Fixture!$B$5:$B$108,MATCH(D36,Fixture!$A$5:$A$108,0)),0),Fases!$A$5:$A$10,0)),0),0))))</f>
        <v/>
      </c>
      <c r="M36" s="10" t="str">
        <f aca="false">IFERROR(INDEX(Fixture!$K$5:$K$108,MATCH(D36,Fixture!$A$5:$A$108,0)),"")</f>
        <v>PENDIENTE</v>
      </c>
    </row>
    <row r="37" customFormat="false" ht="15" hidden="false" customHeight="false" outlineLevel="0" collapsed="false">
      <c r="A37" s="11" t="n">
        <v>33</v>
      </c>
      <c r="B37" s="11" t="n">
        <v>1</v>
      </c>
      <c r="C37" s="12" t="str">
        <f aca="false">IFERROR(INDEX(Usuarios!$C$5:$C$200,MATCH(B37,Usuarios!$A$5:$A$200,0)),"")</f>
        <v>carlitos</v>
      </c>
      <c r="D37" s="11" t="n">
        <v>33</v>
      </c>
      <c r="E37" s="12" t="str">
        <f aca="false">IFERROR(INDEX(Fases!$B$5:$B$10,MATCH(INDEX(Fixture!$B$5:$B$108,MATCH(D37,Fixture!$A$5:$A$108,0)),Fases!$A$5:$A$10,0)),"")</f>
        <v>Grupos</v>
      </c>
      <c r="F37" s="12" t="str">
        <f aca="false">IFERROR(INDEX(Fixture!$E$5:$E$108,MATCH(D37,Fixture!$A$5:$A$108,0)),"")</f>
        <v>Inglaterra</v>
      </c>
      <c r="G37" s="12" t="str">
        <f aca="false">IFERROR(INDEX(Fixture!$F$5:$F$108,MATCH(D37,Fixture!$A$5:$A$108,0)),"")</f>
        <v>Bélgica</v>
      </c>
      <c r="H37" s="20" t="n">
        <f aca="false">IFERROR(INDEX(Fixture!$G$5:$G$108,MATCH(D37,Fixture!$A$5:$A$108,0)),"")</f>
        <v>46194.875</v>
      </c>
      <c r="I37" s="21"/>
      <c r="J37" s="21"/>
      <c r="K37" s="12" t="str">
        <f aca="false">IFERROR(INDEX(Fixture!$I$5:$I$108,MATCH(D37,Fixture!$A$5:$A$108,0))&amp;"-"&amp;INDEX(Fixture!$J$5:$J$108,MATCH(D37,Fixture!$A$5:$A$108,0)),"")</f>
        <v>-</v>
      </c>
      <c r="L37" s="11" t="str">
        <f aca="false">IF(M37&lt;&gt;"FINALIZADO","",IF(OR(ISBLANK(I37),ISBLANK(J37)),0,IF(AND(I37=IFERROR(INDEX(Fixture!$I$5:$I$108,MATCH(D37,Fixture!$A$5:$A$108,0)),"-999"),J37=IFERROR(INDEX(Fixture!$J$5:$J$108,MATCH(D37,Fixture!$A$5:$A$108,0)),"-999")),IFERROR(INDEX(Fases!$C$5:$C$10,MATCH(IFERROR(INDEX(Fixture!$B$5:$B$108,MATCH(D37,Fixture!$A$5:$A$108,0)),0),Fases!$A$5:$A$10,0)),0),IF(OR(AND(I37&gt;J37,IFERROR(INDEX(Fixture!$I$5:$I$108,MATCH(D37,Fixture!$A$5:$A$108,0)),0)&gt;IFERROR(INDEX(Fixture!$J$5:$J$108,MATCH(D37,Fixture!$A$5:$A$108,0)),0)),AND(I37&lt;J37,IFERROR(INDEX(Fixture!$I$5:$I$108,MATCH(D37,Fixture!$A$5:$A$108,0)),0)&lt;IFERROR(INDEX(Fixture!$J$5:$J$108,MATCH(D37,Fixture!$A$5:$A$108,0)),0)),AND(I37=J37,IFERROR(INDEX(Fixture!$I$5:$I$108,MATCH(D37,Fixture!$A$5:$A$108,0)),0)=IFERROR(INDEX(Fixture!$J$5:$J$108,MATCH(D37,Fixture!$A$5:$A$108,0)),0))),IFERROR(INDEX(Fases!$D$5:$D$10,MATCH(IFERROR(INDEX(Fixture!$B$5:$B$108,MATCH(D37,Fixture!$A$5:$A$108,0)),0),Fases!$A$5:$A$10,0)),0),0))))</f>
        <v/>
      </c>
      <c r="M37" s="12" t="str">
        <f aca="false">IFERROR(INDEX(Fixture!$K$5:$K$108,MATCH(D37,Fixture!$A$5:$A$108,0)),"")</f>
        <v>PENDIENTE</v>
      </c>
    </row>
    <row r="38" customFormat="false" ht="15" hidden="false" customHeight="false" outlineLevel="0" collapsed="false">
      <c r="A38" s="9" t="n">
        <v>34</v>
      </c>
      <c r="B38" s="9" t="n">
        <v>1</v>
      </c>
      <c r="C38" s="10" t="str">
        <f aca="false">IFERROR(INDEX(Usuarios!$C$5:$C$200,MATCH(B38,Usuarios!$A$5:$A$200,0)),"")</f>
        <v>carlitos</v>
      </c>
      <c r="D38" s="9" t="n">
        <v>34</v>
      </c>
      <c r="E38" s="10" t="str">
        <f aca="false">IFERROR(INDEX(Fases!$B$5:$B$10,MATCH(INDEX(Fixture!$B$5:$B$108,MATCH(D38,Fixture!$A$5:$A$108,0)),Fases!$A$5:$A$10,0)),"")</f>
        <v>Grupos</v>
      </c>
      <c r="F38" s="10" t="str">
        <f aca="false">IFERROR(INDEX(Fixture!$E$5:$E$108,MATCH(D38,Fixture!$A$5:$A$108,0)),"")</f>
        <v>Italia</v>
      </c>
      <c r="G38" s="10" t="str">
        <f aca="false">IFERROR(INDEX(Fixture!$F$5:$F$108,MATCH(D38,Fixture!$A$5:$A$108,0)),"")</f>
        <v>Países Bajos</v>
      </c>
      <c r="H38" s="22" t="n">
        <f aca="false">IFERROR(INDEX(Fixture!$G$5:$G$108,MATCH(D38,Fixture!$A$5:$A$108,0)),"")</f>
        <v>46195</v>
      </c>
      <c r="I38" s="23"/>
      <c r="J38" s="23"/>
      <c r="K38" s="10" t="str">
        <f aca="false">IFERROR(INDEX(Fixture!$I$5:$I$108,MATCH(D38,Fixture!$A$5:$A$108,0))&amp;"-"&amp;INDEX(Fixture!$J$5:$J$108,MATCH(D38,Fixture!$A$5:$A$108,0)),"")</f>
        <v>-</v>
      </c>
      <c r="L38" s="9" t="str">
        <f aca="false">IF(M38&lt;&gt;"FINALIZADO","",IF(OR(ISBLANK(I38),ISBLANK(J38)),0,IF(AND(I38=IFERROR(INDEX(Fixture!$I$5:$I$108,MATCH(D38,Fixture!$A$5:$A$108,0)),"-999"),J38=IFERROR(INDEX(Fixture!$J$5:$J$108,MATCH(D38,Fixture!$A$5:$A$108,0)),"-999")),IFERROR(INDEX(Fases!$C$5:$C$10,MATCH(IFERROR(INDEX(Fixture!$B$5:$B$108,MATCH(D38,Fixture!$A$5:$A$108,0)),0),Fases!$A$5:$A$10,0)),0),IF(OR(AND(I38&gt;J38,IFERROR(INDEX(Fixture!$I$5:$I$108,MATCH(D38,Fixture!$A$5:$A$108,0)),0)&gt;IFERROR(INDEX(Fixture!$J$5:$J$108,MATCH(D38,Fixture!$A$5:$A$108,0)),0)),AND(I38&lt;J38,IFERROR(INDEX(Fixture!$I$5:$I$108,MATCH(D38,Fixture!$A$5:$A$108,0)),0)&lt;IFERROR(INDEX(Fixture!$J$5:$J$108,MATCH(D38,Fixture!$A$5:$A$108,0)),0)),AND(I38=J38,IFERROR(INDEX(Fixture!$I$5:$I$108,MATCH(D38,Fixture!$A$5:$A$108,0)),0)=IFERROR(INDEX(Fixture!$J$5:$J$108,MATCH(D38,Fixture!$A$5:$A$108,0)),0))),IFERROR(INDEX(Fases!$D$5:$D$10,MATCH(IFERROR(INDEX(Fixture!$B$5:$B$108,MATCH(D38,Fixture!$A$5:$A$108,0)),0),Fases!$A$5:$A$10,0)),0),0))))</f>
        <v/>
      </c>
      <c r="M38" s="10" t="str">
        <f aca="false">IFERROR(INDEX(Fixture!$K$5:$K$108,MATCH(D38,Fixture!$A$5:$A$108,0)),"")</f>
        <v>PENDIENTE</v>
      </c>
    </row>
    <row r="39" customFormat="false" ht="15" hidden="false" customHeight="false" outlineLevel="0" collapsed="false">
      <c r="A39" s="11" t="n">
        <v>35</v>
      </c>
      <c r="B39" s="11" t="n">
        <v>1</v>
      </c>
      <c r="C39" s="12" t="str">
        <f aca="false">IFERROR(INDEX(Usuarios!$C$5:$C$200,MATCH(B39,Usuarios!$A$5:$A$200,0)),"")</f>
        <v>carlitos</v>
      </c>
      <c r="D39" s="11" t="n">
        <v>35</v>
      </c>
      <c r="E39" s="12" t="str">
        <f aca="false">IFERROR(INDEX(Fases!$B$5:$B$10,MATCH(INDEX(Fixture!$B$5:$B$108,MATCH(D39,Fixture!$A$5:$A$108,0)),Fases!$A$5:$A$10,0)),"")</f>
        <v>Grupos</v>
      </c>
      <c r="F39" s="12" t="str">
        <f aca="false">IFERROR(INDEX(Fixture!$E$5:$E$108,MATCH(D39,Fixture!$A$5:$A$108,0)),"")</f>
        <v>Italia</v>
      </c>
      <c r="G39" s="12" t="str">
        <f aca="false">IFERROR(INDEX(Fixture!$F$5:$F$108,MATCH(D39,Fixture!$A$5:$A$108,0)),"")</f>
        <v>Bélgica</v>
      </c>
      <c r="H39" s="20" t="n">
        <f aca="false">IFERROR(INDEX(Fixture!$G$5:$G$108,MATCH(D39,Fixture!$A$5:$A$108,0)),"")</f>
        <v>46195.625</v>
      </c>
      <c r="I39" s="21"/>
      <c r="J39" s="21"/>
      <c r="K39" s="12" t="str">
        <f aca="false">IFERROR(INDEX(Fixture!$I$5:$I$108,MATCH(D39,Fixture!$A$5:$A$108,0))&amp;"-"&amp;INDEX(Fixture!$J$5:$J$108,MATCH(D39,Fixture!$A$5:$A$108,0)),"")</f>
        <v>-</v>
      </c>
      <c r="L39" s="11" t="str">
        <f aca="false">IF(M39&lt;&gt;"FINALIZADO","",IF(OR(ISBLANK(I39),ISBLANK(J39)),0,IF(AND(I39=IFERROR(INDEX(Fixture!$I$5:$I$108,MATCH(D39,Fixture!$A$5:$A$108,0)),"-999"),J39=IFERROR(INDEX(Fixture!$J$5:$J$108,MATCH(D39,Fixture!$A$5:$A$108,0)),"-999")),IFERROR(INDEX(Fases!$C$5:$C$10,MATCH(IFERROR(INDEX(Fixture!$B$5:$B$108,MATCH(D39,Fixture!$A$5:$A$108,0)),0),Fases!$A$5:$A$10,0)),0),IF(OR(AND(I39&gt;J39,IFERROR(INDEX(Fixture!$I$5:$I$108,MATCH(D39,Fixture!$A$5:$A$108,0)),0)&gt;IFERROR(INDEX(Fixture!$J$5:$J$108,MATCH(D39,Fixture!$A$5:$A$108,0)),0)),AND(I39&lt;J39,IFERROR(INDEX(Fixture!$I$5:$I$108,MATCH(D39,Fixture!$A$5:$A$108,0)),0)&lt;IFERROR(INDEX(Fixture!$J$5:$J$108,MATCH(D39,Fixture!$A$5:$A$108,0)),0)),AND(I39=J39,IFERROR(INDEX(Fixture!$I$5:$I$108,MATCH(D39,Fixture!$A$5:$A$108,0)),0)=IFERROR(INDEX(Fixture!$J$5:$J$108,MATCH(D39,Fixture!$A$5:$A$108,0)),0))),IFERROR(INDEX(Fases!$D$5:$D$10,MATCH(IFERROR(INDEX(Fixture!$B$5:$B$108,MATCH(D39,Fixture!$A$5:$A$108,0)),0),Fases!$A$5:$A$10,0)),0),0))))</f>
        <v/>
      </c>
      <c r="M39" s="12" t="str">
        <f aca="false">IFERROR(INDEX(Fixture!$K$5:$K$108,MATCH(D39,Fixture!$A$5:$A$108,0)),"")</f>
        <v>PENDIENTE</v>
      </c>
    </row>
    <row r="40" customFormat="false" ht="15" hidden="false" customHeight="false" outlineLevel="0" collapsed="false">
      <c r="A40" s="9" t="n">
        <v>36</v>
      </c>
      <c r="B40" s="9" t="n">
        <v>1</v>
      </c>
      <c r="C40" s="10" t="str">
        <f aca="false">IFERROR(INDEX(Usuarios!$C$5:$C$200,MATCH(B40,Usuarios!$A$5:$A$200,0)),"")</f>
        <v>carlitos</v>
      </c>
      <c r="D40" s="9" t="n">
        <v>36</v>
      </c>
      <c r="E40" s="10" t="str">
        <f aca="false">IFERROR(INDEX(Fases!$B$5:$B$10,MATCH(INDEX(Fixture!$B$5:$B$108,MATCH(D40,Fixture!$A$5:$A$108,0)),Fases!$A$5:$A$10,0)),"")</f>
        <v>Grupos</v>
      </c>
      <c r="F40" s="10" t="str">
        <f aca="false">IFERROR(INDEX(Fixture!$E$5:$E$108,MATCH(D40,Fixture!$A$5:$A$108,0)),"")</f>
        <v>Países Bajos</v>
      </c>
      <c r="G40" s="10" t="str">
        <f aca="false">IFERROR(INDEX(Fixture!$F$5:$F$108,MATCH(D40,Fixture!$A$5:$A$108,0)),"")</f>
        <v>Bélgica</v>
      </c>
      <c r="H40" s="22" t="n">
        <f aca="false">IFERROR(INDEX(Fixture!$G$5:$G$108,MATCH(D40,Fixture!$A$5:$A$108,0)),"")</f>
        <v>46195.75</v>
      </c>
      <c r="I40" s="23"/>
      <c r="J40" s="23"/>
      <c r="K40" s="10" t="str">
        <f aca="false">IFERROR(INDEX(Fixture!$I$5:$I$108,MATCH(D40,Fixture!$A$5:$A$108,0))&amp;"-"&amp;INDEX(Fixture!$J$5:$J$108,MATCH(D40,Fixture!$A$5:$A$108,0)),"")</f>
        <v>-</v>
      </c>
      <c r="L40" s="9" t="str">
        <f aca="false">IF(M40&lt;&gt;"FINALIZADO","",IF(OR(ISBLANK(I40),ISBLANK(J40)),0,IF(AND(I40=IFERROR(INDEX(Fixture!$I$5:$I$108,MATCH(D40,Fixture!$A$5:$A$108,0)),"-999"),J40=IFERROR(INDEX(Fixture!$J$5:$J$108,MATCH(D40,Fixture!$A$5:$A$108,0)),"-999")),IFERROR(INDEX(Fases!$C$5:$C$10,MATCH(IFERROR(INDEX(Fixture!$B$5:$B$108,MATCH(D40,Fixture!$A$5:$A$108,0)),0),Fases!$A$5:$A$10,0)),0),IF(OR(AND(I40&gt;J40,IFERROR(INDEX(Fixture!$I$5:$I$108,MATCH(D40,Fixture!$A$5:$A$108,0)),0)&gt;IFERROR(INDEX(Fixture!$J$5:$J$108,MATCH(D40,Fixture!$A$5:$A$108,0)),0)),AND(I40&lt;J40,IFERROR(INDEX(Fixture!$I$5:$I$108,MATCH(D40,Fixture!$A$5:$A$108,0)),0)&lt;IFERROR(INDEX(Fixture!$J$5:$J$108,MATCH(D40,Fixture!$A$5:$A$108,0)),0)),AND(I40=J40,IFERROR(INDEX(Fixture!$I$5:$I$108,MATCH(D40,Fixture!$A$5:$A$108,0)),0)=IFERROR(INDEX(Fixture!$J$5:$J$108,MATCH(D40,Fixture!$A$5:$A$108,0)),0))),IFERROR(INDEX(Fases!$D$5:$D$10,MATCH(IFERROR(INDEX(Fixture!$B$5:$B$108,MATCH(D40,Fixture!$A$5:$A$108,0)),0),Fases!$A$5:$A$10,0)),0),0))))</f>
        <v/>
      </c>
      <c r="M40" s="10" t="str">
        <f aca="false">IFERROR(INDEX(Fixture!$K$5:$K$108,MATCH(D40,Fixture!$A$5:$A$108,0)),"")</f>
        <v>PENDIENTE</v>
      </c>
    </row>
    <row r="41" customFormat="false" ht="15" hidden="false" customHeight="false" outlineLevel="0" collapsed="false">
      <c r="A41" s="11" t="n">
        <v>37</v>
      </c>
      <c r="B41" s="11" t="n">
        <v>1</v>
      </c>
      <c r="C41" s="12" t="str">
        <f aca="false">IFERROR(INDEX(Usuarios!$C$5:$C$200,MATCH(B41,Usuarios!$A$5:$A$200,0)),"")</f>
        <v>carlitos</v>
      </c>
      <c r="D41" s="11" t="n">
        <v>37</v>
      </c>
      <c r="E41" s="12" t="str">
        <f aca="false">IFERROR(INDEX(Fases!$B$5:$B$10,MATCH(INDEX(Fixture!$B$5:$B$108,MATCH(D41,Fixture!$A$5:$A$108,0)),Fases!$A$5:$A$10,0)),"")</f>
        <v>Grupos</v>
      </c>
      <c r="F41" s="12" t="str">
        <f aca="false">IFERROR(INDEX(Fixture!$E$5:$E$108,MATCH(D41,Fixture!$A$5:$A$108,0)),"")</f>
        <v>Croacia</v>
      </c>
      <c r="G41" s="12" t="str">
        <f aca="false">IFERROR(INDEX(Fixture!$F$5:$F$108,MATCH(D41,Fixture!$A$5:$A$108,0)),"")</f>
        <v>Suiza</v>
      </c>
      <c r="H41" s="20" t="n">
        <f aca="false">IFERROR(INDEX(Fixture!$G$5:$G$108,MATCH(D41,Fixture!$A$5:$A$108,0)),"")</f>
        <v>46196.625</v>
      </c>
      <c r="I41" s="21"/>
      <c r="J41" s="21"/>
      <c r="K41" s="12" t="str">
        <f aca="false">IFERROR(INDEX(Fixture!$I$5:$I$108,MATCH(D41,Fixture!$A$5:$A$108,0))&amp;"-"&amp;INDEX(Fixture!$J$5:$J$108,MATCH(D41,Fixture!$A$5:$A$108,0)),"")</f>
        <v>-</v>
      </c>
      <c r="L41" s="11" t="str">
        <f aca="false">IF(M41&lt;&gt;"FINALIZADO","",IF(OR(ISBLANK(I41),ISBLANK(J41)),0,IF(AND(I41=IFERROR(INDEX(Fixture!$I$5:$I$108,MATCH(D41,Fixture!$A$5:$A$108,0)),"-999"),J41=IFERROR(INDEX(Fixture!$J$5:$J$108,MATCH(D41,Fixture!$A$5:$A$108,0)),"-999")),IFERROR(INDEX(Fases!$C$5:$C$10,MATCH(IFERROR(INDEX(Fixture!$B$5:$B$108,MATCH(D41,Fixture!$A$5:$A$108,0)),0),Fases!$A$5:$A$10,0)),0),IF(OR(AND(I41&gt;J41,IFERROR(INDEX(Fixture!$I$5:$I$108,MATCH(D41,Fixture!$A$5:$A$108,0)),0)&gt;IFERROR(INDEX(Fixture!$J$5:$J$108,MATCH(D41,Fixture!$A$5:$A$108,0)),0)),AND(I41&lt;J41,IFERROR(INDEX(Fixture!$I$5:$I$108,MATCH(D41,Fixture!$A$5:$A$108,0)),0)&lt;IFERROR(INDEX(Fixture!$J$5:$J$108,MATCH(D41,Fixture!$A$5:$A$108,0)),0)),AND(I41=J41,IFERROR(INDEX(Fixture!$I$5:$I$108,MATCH(D41,Fixture!$A$5:$A$108,0)),0)=IFERROR(INDEX(Fixture!$J$5:$J$108,MATCH(D41,Fixture!$A$5:$A$108,0)),0))),IFERROR(INDEX(Fases!$D$5:$D$10,MATCH(IFERROR(INDEX(Fixture!$B$5:$B$108,MATCH(D41,Fixture!$A$5:$A$108,0)),0),Fases!$A$5:$A$10,0)),0),0))))</f>
        <v/>
      </c>
      <c r="M41" s="12" t="str">
        <f aca="false">IFERROR(INDEX(Fixture!$K$5:$K$108,MATCH(D41,Fixture!$A$5:$A$108,0)),"")</f>
        <v>PENDIENTE</v>
      </c>
    </row>
    <row r="42" customFormat="false" ht="15" hidden="false" customHeight="false" outlineLevel="0" collapsed="false">
      <c r="A42" s="9" t="n">
        <v>38</v>
      </c>
      <c r="B42" s="9" t="n">
        <v>1</v>
      </c>
      <c r="C42" s="10" t="str">
        <f aca="false">IFERROR(INDEX(Usuarios!$C$5:$C$200,MATCH(B42,Usuarios!$A$5:$A$200,0)),"")</f>
        <v>carlitos</v>
      </c>
      <c r="D42" s="9" t="n">
        <v>38</v>
      </c>
      <c r="E42" s="10" t="str">
        <f aca="false">IFERROR(INDEX(Fases!$B$5:$B$10,MATCH(INDEX(Fixture!$B$5:$B$108,MATCH(D42,Fixture!$A$5:$A$108,0)),Fases!$A$5:$A$10,0)),"")</f>
        <v>Grupos</v>
      </c>
      <c r="F42" s="10" t="str">
        <f aca="false">IFERROR(INDEX(Fixture!$E$5:$E$108,MATCH(D42,Fixture!$A$5:$A$108,0)),"")</f>
        <v>Croacia</v>
      </c>
      <c r="G42" s="10" t="str">
        <f aca="false">IFERROR(INDEX(Fixture!$F$5:$F$108,MATCH(D42,Fixture!$A$5:$A$108,0)),"")</f>
        <v>Austria</v>
      </c>
      <c r="H42" s="22" t="n">
        <f aca="false">IFERROR(INDEX(Fixture!$G$5:$G$108,MATCH(D42,Fixture!$A$5:$A$108,0)),"")</f>
        <v>46196.75</v>
      </c>
      <c r="I42" s="23"/>
      <c r="J42" s="23"/>
      <c r="K42" s="10" t="str">
        <f aca="false">IFERROR(INDEX(Fixture!$I$5:$I$108,MATCH(D42,Fixture!$A$5:$A$108,0))&amp;"-"&amp;INDEX(Fixture!$J$5:$J$108,MATCH(D42,Fixture!$A$5:$A$108,0)),"")</f>
        <v>-</v>
      </c>
      <c r="L42" s="9" t="str">
        <f aca="false">IF(M42&lt;&gt;"FINALIZADO","",IF(OR(ISBLANK(I42),ISBLANK(J42)),0,IF(AND(I42=IFERROR(INDEX(Fixture!$I$5:$I$108,MATCH(D42,Fixture!$A$5:$A$108,0)),"-999"),J42=IFERROR(INDEX(Fixture!$J$5:$J$108,MATCH(D42,Fixture!$A$5:$A$108,0)),"-999")),IFERROR(INDEX(Fases!$C$5:$C$10,MATCH(IFERROR(INDEX(Fixture!$B$5:$B$108,MATCH(D42,Fixture!$A$5:$A$108,0)),0),Fases!$A$5:$A$10,0)),0),IF(OR(AND(I42&gt;J42,IFERROR(INDEX(Fixture!$I$5:$I$108,MATCH(D42,Fixture!$A$5:$A$108,0)),0)&gt;IFERROR(INDEX(Fixture!$J$5:$J$108,MATCH(D42,Fixture!$A$5:$A$108,0)),0)),AND(I42&lt;J42,IFERROR(INDEX(Fixture!$I$5:$I$108,MATCH(D42,Fixture!$A$5:$A$108,0)),0)&lt;IFERROR(INDEX(Fixture!$J$5:$J$108,MATCH(D42,Fixture!$A$5:$A$108,0)),0)),AND(I42=J42,IFERROR(INDEX(Fixture!$I$5:$I$108,MATCH(D42,Fixture!$A$5:$A$108,0)),0)=IFERROR(INDEX(Fixture!$J$5:$J$108,MATCH(D42,Fixture!$A$5:$A$108,0)),0))),IFERROR(INDEX(Fases!$D$5:$D$10,MATCH(IFERROR(INDEX(Fixture!$B$5:$B$108,MATCH(D42,Fixture!$A$5:$A$108,0)),0),Fases!$A$5:$A$10,0)),0),0))))</f>
        <v/>
      </c>
      <c r="M42" s="10" t="str">
        <f aca="false">IFERROR(INDEX(Fixture!$K$5:$K$108,MATCH(D42,Fixture!$A$5:$A$108,0)),"")</f>
        <v>PENDIENTE</v>
      </c>
    </row>
    <row r="43" customFormat="false" ht="15" hidden="false" customHeight="false" outlineLevel="0" collapsed="false">
      <c r="A43" s="11" t="n">
        <v>39</v>
      </c>
      <c r="B43" s="11" t="n">
        <v>1</v>
      </c>
      <c r="C43" s="12" t="str">
        <f aca="false">IFERROR(INDEX(Usuarios!$C$5:$C$200,MATCH(B43,Usuarios!$A$5:$A$200,0)),"")</f>
        <v>carlitos</v>
      </c>
      <c r="D43" s="11" t="n">
        <v>39</v>
      </c>
      <c r="E43" s="12" t="str">
        <f aca="false">IFERROR(INDEX(Fases!$B$5:$B$10,MATCH(INDEX(Fixture!$B$5:$B$108,MATCH(D43,Fixture!$A$5:$A$108,0)),Fases!$A$5:$A$10,0)),"")</f>
        <v>Grupos</v>
      </c>
      <c r="F43" s="12" t="str">
        <f aca="false">IFERROR(INDEX(Fixture!$E$5:$E$108,MATCH(D43,Fixture!$A$5:$A$108,0)),"")</f>
        <v>Croacia</v>
      </c>
      <c r="G43" s="12" t="str">
        <f aca="false">IFERROR(INDEX(Fixture!$F$5:$F$108,MATCH(D43,Fixture!$A$5:$A$108,0)),"")</f>
        <v>Hungría</v>
      </c>
      <c r="H43" s="20" t="n">
        <f aca="false">IFERROR(INDEX(Fixture!$G$5:$G$108,MATCH(D43,Fixture!$A$5:$A$108,0)),"")</f>
        <v>46196.875</v>
      </c>
      <c r="I43" s="21"/>
      <c r="J43" s="21"/>
      <c r="K43" s="12" t="str">
        <f aca="false">IFERROR(INDEX(Fixture!$I$5:$I$108,MATCH(D43,Fixture!$A$5:$A$108,0))&amp;"-"&amp;INDEX(Fixture!$J$5:$J$108,MATCH(D43,Fixture!$A$5:$A$108,0)),"")</f>
        <v>-</v>
      </c>
      <c r="L43" s="11" t="str">
        <f aca="false">IF(M43&lt;&gt;"FINALIZADO","",IF(OR(ISBLANK(I43),ISBLANK(J43)),0,IF(AND(I43=IFERROR(INDEX(Fixture!$I$5:$I$108,MATCH(D43,Fixture!$A$5:$A$108,0)),"-999"),J43=IFERROR(INDEX(Fixture!$J$5:$J$108,MATCH(D43,Fixture!$A$5:$A$108,0)),"-999")),IFERROR(INDEX(Fases!$C$5:$C$10,MATCH(IFERROR(INDEX(Fixture!$B$5:$B$108,MATCH(D43,Fixture!$A$5:$A$108,0)),0),Fases!$A$5:$A$10,0)),0),IF(OR(AND(I43&gt;J43,IFERROR(INDEX(Fixture!$I$5:$I$108,MATCH(D43,Fixture!$A$5:$A$108,0)),0)&gt;IFERROR(INDEX(Fixture!$J$5:$J$108,MATCH(D43,Fixture!$A$5:$A$108,0)),0)),AND(I43&lt;J43,IFERROR(INDEX(Fixture!$I$5:$I$108,MATCH(D43,Fixture!$A$5:$A$108,0)),0)&lt;IFERROR(INDEX(Fixture!$J$5:$J$108,MATCH(D43,Fixture!$A$5:$A$108,0)),0)),AND(I43=J43,IFERROR(INDEX(Fixture!$I$5:$I$108,MATCH(D43,Fixture!$A$5:$A$108,0)),0)=IFERROR(INDEX(Fixture!$J$5:$J$108,MATCH(D43,Fixture!$A$5:$A$108,0)),0))),IFERROR(INDEX(Fases!$D$5:$D$10,MATCH(IFERROR(INDEX(Fixture!$B$5:$B$108,MATCH(D43,Fixture!$A$5:$A$108,0)),0),Fases!$A$5:$A$10,0)),0),0))))</f>
        <v/>
      </c>
      <c r="M43" s="12" t="str">
        <f aca="false">IFERROR(INDEX(Fixture!$K$5:$K$108,MATCH(D43,Fixture!$A$5:$A$108,0)),"")</f>
        <v>PENDIENTE</v>
      </c>
    </row>
    <row r="44" customFormat="false" ht="15" hidden="false" customHeight="false" outlineLevel="0" collapsed="false">
      <c r="A44" s="9" t="n">
        <v>40</v>
      </c>
      <c r="B44" s="9" t="n">
        <v>1</v>
      </c>
      <c r="C44" s="10" t="str">
        <f aca="false">IFERROR(INDEX(Usuarios!$C$5:$C$200,MATCH(B44,Usuarios!$A$5:$A$200,0)),"")</f>
        <v>carlitos</v>
      </c>
      <c r="D44" s="9" t="n">
        <v>40</v>
      </c>
      <c r="E44" s="10" t="str">
        <f aca="false">IFERROR(INDEX(Fases!$B$5:$B$10,MATCH(INDEX(Fixture!$B$5:$B$108,MATCH(D44,Fixture!$A$5:$A$108,0)),Fases!$A$5:$A$10,0)),"")</f>
        <v>Grupos</v>
      </c>
      <c r="F44" s="10" t="str">
        <f aca="false">IFERROR(INDEX(Fixture!$E$5:$E$108,MATCH(D44,Fixture!$A$5:$A$108,0)),"")</f>
        <v>Suiza</v>
      </c>
      <c r="G44" s="10" t="str">
        <f aca="false">IFERROR(INDEX(Fixture!$F$5:$F$108,MATCH(D44,Fixture!$A$5:$A$108,0)),"")</f>
        <v>Austria</v>
      </c>
      <c r="H44" s="22" t="n">
        <f aca="false">IFERROR(INDEX(Fixture!$G$5:$G$108,MATCH(D44,Fixture!$A$5:$A$108,0)),"")</f>
        <v>46197</v>
      </c>
      <c r="I44" s="23"/>
      <c r="J44" s="23"/>
      <c r="K44" s="10" t="str">
        <f aca="false">IFERROR(INDEX(Fixture!$I$5:$I$108,MATCH(D44,Fixture!$A$5:$A$108,0))&amp;"-"&amp;INDEX(Fixture!$J$5:$J$108,MATCH(D44,Fixture!$A$5:$A$108,0)),"")</f>
        <v>-</v>
      </c>
      <c r="L44" s="9" t="str">
        <f aca="false">IF(M44&lt;&gt;"FINALIZADO","",IF(OR(ISBLANK(I44),ISBLANK(J44)),0,IF(AND(I44=IFERROR(INDEX(Fixture!$I$5:$I$108,MATCH(D44,Fixture!$A$5:$A$108,0)),"-999"),J44=IFERROR(INDEX(Fixture!$J$5:$J$108,MATCH(D44,Fixture!$A$5:$A$108,0)),"-999")),IFERROR(INDEX(Fases!$C$5:$C$10,MATCH(IFERROR(INDEX(Fixture!$B$5:$B$108,MATCH(D44,Fixture!$A$5:$A$108,0)),0),Fases!$A$5:$A$10,0)),0),IF(OR(AND(I44&gt;J44,IFERROR(INDEX(Fixture!$I$5:$I$108,MATCH(D44,Fixture!$A$5:$A$108,0)),0)&gt;IFERROR(INDEX(Fixture!$J$5:$J$108,MATCH(D44,Fixture!$A$5:$A$108,0)),0)),AND(I44&lt;J44,IFERROR(INDEX(Fixture!$I$5:$I$108,MATCH(D44,Fixture!$A$5:$A$108,0)),0)&lt;IFERROR(INDEX(Fixture!$J$5:$J$108,MATCH(D44,Fixture!$A$5:$A$108,0)),0)),AND(I44=J44,IFERROR(INDEX(Fixture!$I$5:$I$108,MATCH(D44,Fixture!$A$5:$A$108,0)),0)=IFERROR(INDEX(Fixture!$J$5:$J$108,MATCH(D44,Fixture!$A$5:$A$108,0)),0))),IFERROR(INDEX(Fases!$D$5:$D$10,MATCH(IFERROR(INDEX(Fixture!$B$5:$B$108,MATCH(D44,Fixture!$A$5:$A$108,0)),0),Fases!$A$5:$A$10,0)),0),0))))</f>
        <v/>
      </c>
      <c r="M44" s="10" t="str">
        <f aca="false">IFERROR(INDEX(Fixture!$K$5:$K$108,MATCH(D44,Fixture!$A$5:$A$108,0)),"")</f>
        <v>PENDIENTE</v>
      </c>
    </row>
    <row r="45" customFormat="false" ht="15" hidden="false" customHeight="false" outlineLevel="0" collapsed="false">
      <c r="A45" s="11" t="n">
        <v>41</v>
      </c>
      <c r="B45" s="11" t="n">
        <v>1</v>
      </c>
      <c r="C45" s="12" t="str">
        <f aca="false">IFERROR(INDEX(Usuarios!$C$5:$C$200,MATCH(B45,Usuarios!$A$5:$A$200,0)),"")</f>
        <v>carlitos</v>
      </c>
      <c r="D45" s="11" t="n">
        <v>41</v>
      </c>
      <c r="E45" s="12" t="str">
        <f aca="false">IFERROR(INDEX(Fases!$B$5:$B$10,MATCH(INDEX(Fixture!$B$5:$B$108,MATCH(D45,Fixture!$A$5:$A$108,0)),Fases!$A$5:$A$10,0)),"")</f>
        <v>Grupos</v>
      </c>
      <c r="F45" s="12" t="str">
        <f aca="false">IFERROR(INDEX(Fixture!$E$5:$E$108,MATCH(D45,Fixture!$A$5:$A$108,0)),"")</f>
        <v>Suiza</v>
      </c>
      <c r="G45" s="12" t="str">
        <f aca="false">IFERROR(INDEX(Fixture!$F$5:$F$108,MATCH(D45,Fixture!$A$5:$A$108,0)),"")</f>
        <v>Hungría</v>
      </c>
      <c r="H45" s="20" t="n">
        <f aca="false">IFERROR(INDEX(Fixture!$G$5:$G$108,MATCH(D45,Fixture!$A$5:$A$108,0)),"")</f>
        <v>46197.625</v>
      </c>
      <c r="I45" s="21"/>
      <c r="J45" s="21"/>
      <c r="K45" s="12" t="str">
        <f aca="false">IFERROR(INDEX(Fixture!$I$5:$I$108,MATCH(D45,Fixture!$A$5:$A$108,0))&amp;"-"&amp;INDEX(Fixture!$J$5:$J$108,MATCH(D45,Fixture!$A$5:$A$108,0)),"")</f>
        <v>-</v>
      </c>
      <c r="L45" s="11" t="str">
        <f aca="false">IF(M45&lt;&gt;"FINALIZADO","",IF(OR(ISBLANK(I45),ISBLANK(J45)),0,IF(AND(I45=IFERROR(INDEX(Fixture!$I$5:$I$108,MATCH(D45,Fixture!$A$5:$A$108,0)),"-999"),J45=IFERROR(INDEX(Fixture!$J$5:$J$108,MATCH(D45,Fixture!$A$5:$A$108,0)),"-999")),IFERROR(INDEX(Fases!$C$5:$C$10,MATCH(IFERROR(INDEX(Fixture!$B$5:$B$108,MATCH(D45,Fixture!$A$5:$A$108,0)),0),Fases!$A$5:$A$10,0)),0),IF(OR(AND(I45&gt;J45,IFERROR(INDEX(Fixture!$I$5:$I$108,MATCH(D45,Fixture!$A$5:$A$108,0)),0)&gt;IFERROR(INDEX(Fixture!$J$5:$J$108,MATCH(D45,Fixture!$A$5:$A$108,0)),0)),AND(I45&lt;J45,IFERROR(INDEX(Fixture!$I$5:$I$108,MATCH(D45,Fixture!$A$5:$A$108,0)),0)&lt;IFERROR(INDEX(Fixture!$J$5:$J$108,MATCH(D45,Fixture!$A$5:$A$108,0)),0)),AND(I45=J45,IFERROR(INDEX(Fixture!$I$5:$I$108,MATCH(D45,Fixture!$A$5:$A$108,0)),0)=IFERROR(INDEX(Fixture!$J$5:$J$108,MATCH(D45,Fixture!$A$5:$A$108,0)),0))),IFERROR(INDEX(Fases!$D$5:$D$10,MATCH(IFERROR(INDEX(Fixture!$B$5:$B$108,MATCH(D45,Fixture!$A$5:$A$108,0)),0),Fases!$A$5:$A$10,0)),0),0))))</f>
        <v/>
      </c>
      <c r="M45" s="12" t="str">
        <f aca="false">IFERROR(INDEX(Fixture!$K$5:$K$108,MATCH(D45,Fixture!$A$5:$A$108,0)),"")</f>
        <v>PENDIENTE</v>
      </c>
    </row>
    <row r="46" customFormat="false" ht="15" hidden="false" customHeight="false" outlineLevel="0" collapsed="false">
      <c r="A46" s="9" t="n">
        <v>42</v>
      </c>
      <c r="B46" s="9" t="n">
        <v>1</v>
      </c>
      <c r="C46" s="10" t="str">
        <f aca="false">IFERROR(INDEX(Usuarios!$C$5:$C$200,MATCH(B46,Usuarios!$A$5:$A$200,0)),"")</f>
        <v>carlitos</v>
      </c>
      <c r="D46" s="9" t="n">
        <v>42</v>
      </c>
      <c r="E46" s="10" t="str">
        <f aca="false">IFERROR(INDEX(Fases!$B$5:$B$10,MATCH(INDEX(Fixture!$B$5:$B$108,MATCH(D46,Fixture!$A$5:$A$108,0)),Fases!$A$5:$A$10,0)),"")</f>
        <v>Grupos</v>
      </c>
      <c r="F46" s="10" t="str">
        <f aca="false">IFERROR(INDEX(Fixture!$E$5:$E$108,MATCH(D46,Fixture!$A$5:$A$108,0)),"")</f>
        <v>Austria</v>
      </c>
      <c r="G46" s="10" t="str">
        <f aca="false">IFERROR(INDEX(Fixture!$F$5:$F$108,MATCH(D46,Fixture!$A$5:$A$108,0)),"")</f>
        <v>Hungría</v>
      </c>
      <c r="H46" s="22" t="n">
        <f aca="false">IFERROR(INDEX(Fixture!$G$5:$G$108,MATCH(D46,Fixture!$A$5:$A$108,0)),"")</f>
        <v>46197.75</v>
      </c>
      <c r="I46" s="23"/>
      <c r="J46" s="23"/>
      <c r="K46" s="10" t="str">
        <f aca="false">IFERROR(INDEX(Fixture!$I$5:$I$108,MATCH(D46,Fixture!$A$5:$A$108,0))&amp;"-"&amp;INDEX(Fixture!$J$5:$J$108,MATCH(D46,Fixture!$A$5:$A$108,0)),"")</f>
        <v>-</v>
      </c>
      <c r="L46" s="9" t="str">
        <f aca="false">IF(M46&lt;&gt;"FINALIZADO","",IF(OR(ISBLANK(I46),ISBLANK(J46)),0,IF(AND(I46=IFERROR(INDEX(Fixture!$I$5:$I$108,MATCH(D46,Fixture!$A$5:$A$108,0)),"-999"),J46=IFERROR(INDEX(Fixture!$J$5:$J$108,MATCH(D46,Fixture!$A$5:$A$108,0)),"-999")),IFERROR(INDEX(Fases!$C$5:$C$10,MATCH(IFERROR(INDEX(Fixture!$B$5:$B$108,MATCH(D46,Fixture!$A$5:$A$108,0)),0),Fases!$A$5:$A$10,0)),0),IF(OR(AND(I46&gt;J46,IFERROR(INDEX(Fixture!$I$5:$I$108,MATCH(D46,Fixture!$A$5:$A$108,0)),0)&gt;IFERROR(INDEX(Fixture!$J$5:$J$108,MATCH(D46,Fixture!$A$5:$A$108,0)),0)),AND(I46&lt;J46,IFERROR(INDEX(Fixture!$I$5:$I$108,MATCH(D46,Fixture!$A$5:$A$108,0)),0)&lt;IFERROR(INDEX(Fixture!$J$5:$J$108,MATCH(D46,Fixture!$A$5:$A$108,0)),0)),AND(I46=J46,IFERROR(INDEX(Fixture!$I$5:$I$108,MATCH(D46,Fixture!$A$5:$A$108,0)),0)=IFERROR(INDEX(Fixture!$J$5:$J$108,MATCH(D46,Fixture!$A$5:$A$108,0)),0))),IFERROR(INDEX(Fases!$D$5:$D$10,MATCH(IFERROR(INDEX(Fixture!$B$5:$B$108,MATCH(D46,Fixture!$A$5:$A$108,0)),0),Fases!$A$5:$A$10,0)),0),0))))</f>
        <v/>
      </c>
      <c r="M46" s="10" t="str">
        <f aca="false">IFERROR(INDEX(Fixture!$K$5:$K$108,MATCH(D46,Fixture!$A$5:$A$108,0)),"")</f>
        <v>PENDIENTE</v>
      </c>
    </row>
    <row r="47" customFormat="false" ht="15" hidden="false" customHeight="false" outlineLevel="0" collapsed="false">
      <c r="A47" s="11" t="n">
        <v>43</v>
      </c>
      <c r="B47" s="11" t="n">
        <v>1</v>
      </c>
      <c r="C47" s="12" t="str">
        <f aca="false">IFERROR(INDEX(Usuarios!$C$5:$C$200,MATCH(B47,Usuarios!$A$5:$A$200,0)),"")</f>
        <v>carlitos</v>
      </c>
      <c r="D47" s="11" t="n">
        <v>43</v>
      </c>
      <c r="E47" s="12" t="str">
        <f aca="false">IFERROR(INDEX(Fases!$B$5:$B$10,MATCH(INDEX(Fixture!$B$5:$B$108,MATCH(D47,Fixture!$A$5:$A$108,0)),Fases!$A$5:$A$10,0)),"")</f>
        <v>Grupos</v>
      </c>
      <c r="F47" s="12" t="str">
        <f aca="false">IFERROR(INDEX(Fixture!$E$5:$E$108,MATCH(D47,Fixture!$A$5:$A$108,0)),"")</f>
        <v>Turquía</v>
      </c>
      <c r="G47" s="12" t="str">
        <f aca="false">IFERROR(INDEX(Fixture!$F$5:$F$108,MATCH(D47,Fixture!$A$5:$A$108,0)),"")</f>
        <v>Escocia</v>
      </c>
      <c r="H47" s="20" t="n">
        <f aca="false">IFERROR(INDEX(Fixture!$G$5:$G$108,MATCH(D47,Fixture!$A$5:$A$108,0)),"")</f>
        <v>46198.625</v>
      </c>
      <c r="I47" s="21"/>
      <c r="J47" s="21"/>
      <c r="K47" s="12" t="str">
        <f aca="false">IFERROR(INDEX(Fixture!$I$5:$I$108,MATCH(D47,Fixture!$A$5:$A$108,0))&amp;"-"&amp;INDEX(Fixture!$J$5:$J$108,MATCH(D47,Fixture!$A$5:$A$108,0)),"")</f>
        <v>-</v>
      </c>
      <c r="L47" s="11" t="str">
        <f aca="false">IF(M47&lt;&gt;"FINALIZADO","",IF(OR(ISBLANK(I47),ISBLANK(J47)),0,IF(AND(I47=IFERROR(INDEX(Fixture!$I$5:$I$108,MATCH(D47,Fixture!$A$5:$A$108,0)),"-999"),J47=IFERROR(INDEX(Fixture!$J$5:$J$108,MATCH(D47,Fixture!$A$5:$A$108,0)),"-999")),IFERROR(INDEX(Fases!$C$5:$C$10,MATCH(IFERROR(INDEX(Fixture!$B$5:$B$108,MATCH(D47,Fixture!$A$5:$A$108,0)),0),Fases!$A$5:$A$10,0)),0),IF(OR(AND(I47&gt;J47,IFERROR(INDEX(Fixture!$I$5:$I$108,MATCH(D47,Fixture!$A$5:$A$108,0)),0)&gt;IFERROR(INDEX(Fixture!$J$5:$J$108,MATCH(D47,Fixture!$A$5:$A$108,0)),0)),AND(I47&lt;J47,IFERROR(INDEX(Fixture!$I$5:$I$108,MATCH(D47,Fixture!$A$5:$A$108,0)),0)&lt;IFERROR(INDEX(Fixture!$J$5:$J$108,MATCH(D47,Fixture!$A$5:$A$108,0)),0)),AND(I47=J47,IFERROR(INDEX(Fixture!$I$5:$I$108,MATCH(D47,Fixture!$A$5:$A$108,0)),0)=IFERROR(INDEX(Fixture!$J$5:$J$108,MATCH(D47,Fixture!$A$5:$A$108,0)),0))),IFERROR(INDEX(Fases!$D$5:$D$10,MATCH(IFERROR(INDEX(Fixture!$B$5:$B$108,MATCH(D47,Fixture!$A$5:$A$108,0)),0),Fases!$A$5:$A$10,0)),0),0))))</f>
        <v/>
      </c>
      <c r="M47" s="12" t="str">
        <f aca="false">IFERROR(INDEX(Fixture!$K$5:$K$108,MATCH(D47,Fixture!$A$5:$A$108,0)),"")</f>
        <v>PENDIENTE</v>
      </c>
    </row>
    <row r="48" customFormat="false" ht="15" hidden="false" customHeight="false" outlineLevel="0" collapsed="false">
      <c r="A48" s="9" t="n">
        <v>44</v>
      </c>
      <c r="B48" s="9" t="n">
        <v>1</v>
      </c>
      <c r="C48" s="10" t="str">
        <f aca="false">IFERROR(INDEX(Usuarios!$C$5:$C$200,MATCH(B48,Usuarios!$A$5:$A$200,0)),"")</f>
        <v>carlitos</v>
      </c>
      <c r="D48" s="9" t="n">
        <v>44</v>
      </c>
      <c r="E48" s="10" t="str">
        <f aca="false">IFERROR(INDEX(Fases!$B$5:$B$10,MATCH(INDEX(Fixture!$B$5:$B$108,MATCH(D48,Fixture!$A$5:$A$108,0)),Fases!$A$5:$A$10,0)),"")</f>
        <v>Grupos</v>
      </c>
      <c r="F48" s="10" t="str">
        <f aca="false">IFERROR(INDEX(Fixture!$E$5:$E$108,MATCH(D48,Fixture!$A$5:$A$108,0)),"")</f>
        <v>Turquía</v>
      </c>
      <c r="G48" s="10" t="str">
        <f aca="false">IFERROR(INDEX(Fixture!$F$5:$F$108,MATCH(D48,Fixture!$A$5:$A$108,0)),"")</f>
        <v>Serbia</v>
      </c>
      <c r="H48" s="22" t="n">
        <f aca="false">IFERROR(INDEX(Fixture!$G$5:$G$108,MATCH(D48,Fixture!$A$5:$A$108,0)),"")</f>
        <v>46198.75</v>
      </c>
      <c r="I48" s="23"/>
      <c r="J48" s="23"/>
      <c r="K48" s="10" t="str">
        <f aca="false">IFERROR(INDEX(Fixture!$I$5:$I$108,MATCH(D48,Fixture!$A$5:$A$108,0))&amp;"-"&amp;INDEX(Fixture!$J$5:$J$108,MATCH(D48,Fixture!$A$5:$A$108,0)),"")</f>
        <v>-</v>
      </c>
      <c r="L48" s="9" t="str">
        <f aca="false">IF(M48&lt;&gt;"FINALIZADO","",IF(OR(ISBLANK(I48),ISBLANK(J48)),0,IF(AND(I48=IFERROR(INDEX(Fixture!$I$5:$I$108,MATCH(D48,Fixture!$A$5:$A$108,0)),"-999"),J48=IFERROR(INDEX(Fixture!$J$5:$J$108,MATCH(D48,Fixture!$A$5:$A$108,0)),"-999")),IFERROR(INDEX(Fases!$C$5:$C$10,MATCH(IFERROR(INDEX(Fixture!$B$5:$B$108,MATCH(D48,Fixture!$A$5:$A$108,0)),0),Fases!$A$5:$A$10,0)),0),IF(OR(AND(I48&gt;J48,IFERROR(INDEX(Fixture!$I$5:$I$108,MATCH(D48,Fixture!$A$5:$A$108,0)),0)&gt;IFERROR(INDEX(Fixture!$J$5:$J$108,MATCH(D48,Fixture!$A$5:$A$108,0)),0)),AND(I48&lt;J48,IFERROR(INDEX(Fixture!$I$5:$I$108,MATCH(D48,Fixture!$A$5:$A$108,0)),0)&lt;IFERROR(INDEX(Fixture!$J$5:$J$108,MATCH(D48,Fixture!$A$5:$A$108,0)),0)),AND(I48=J48,IFERROR(INDEX(Fixture!$I$5:$I$108,MATCH(D48,Fixture!$A$5:$A$108,0)),0)=IFERROR(INDEX(Fixture!$J$5:$J$108,MATCH(D48,Fixture!$A$5:$A$108,0)),0))),IFERROR(INDEX(Fases!$D$5:$D$10,MATCH(IFERROR(INDEX(Fixture!$B$5:$B$108,MATCH(D48,Fixture!$A$5:$A$108,0)),0),Fases!$A$5:$A$10,0)),0),0))))</f>
        <v/>
      </c>
      <c r="M48" s="10" t="str">
        <f aca="false">IFERROR(INDEX(Fixture!$K$5:$K$108,MATCH(D48,Fixture!$A$5:$A$108,0)),"")</f>
        <v>PENDIENTE</v>
      </c>
    </row>
    <row r="49" customFormat="false" ht="15" hidden="false" customHeight="false" outlineLevel="0" collapsed="false">
      <c r="A49" s="11" t="n">
        <v>45</v>
      </c>
      <c r="B49" s="11" t="n">
        <v>1</v>
      </c>
      <c r="C49" s="12" t="str">
        <f aca="false">IFERROR(INDEX(Usuarios!$C$5:$C$200,MATCH(B49,Usuarios!$A$5:$A$200,0)),"")</f>
        <v>carlitos</v>
      </c>
      <c r="D49" s="11" t="n">
        <v>45</v>
      </c>
      <c r="E49" s="12" t="str">
        <f aca="false">IFERROR(INDEX(Fases!$B$5:$B$10,MATCH(INDEX(Fixture!$B$5:$B$108,MATCH(D49,Fixture!$A$5:$A$108,0)),Fases!$A$5:$A$10,0)),"")</f>
        <v>Grupos</v>
      </c>
      <c r="F49" s="12" t="str">
        <f aca="false">IFERROR(INDEX(Fixture!$E$5:$E$108,MATCH(D49,Fixture!$A$5:$A$108,0)),"")</f>
        <v>Turquía</v>
      </c>
      <c r="G49" s="12" t="str">
        <f aca="false">IFERROR(INDEX(Fixture!$F$5:$F$108,MATCH(D49,Fixture!$A$5:$A$108,0)),"")</f>
        <v>República Checa</v>
      </c>
      <c r="H49" s="20" t="n">
        <f aca="false">IFERROR(INDEX(Fixture!$G$5:$G$108,MATCH(D49,Fixture!$A$5:$A$108,0)),"")</f>
        <v>46198.875</v>
      </c>
      <c r="I49" s="21"/>
      <c r="J49" s="21"/>
      <c r="K49" s="12" t="str">
        <f aca="false">IFERROR(INDEX(Fixture!$I$5:$I$108,MATCH(D49,Fixture!$A$5:$A$108,0))&amp;"-"&amp;INDEX(Fixture!$J$5:$J$108,MATCH(D49,Fixture!$A$5:$A$108,0)),"")</f>
        <v>-</v>
      </c>
      <c r="L49" s="11" t="str">
        <f aca="false">IF(M49&lt;&gt;"FINALIZADO","",IF(OR(ISBLANK(I49),ISBLANK(J49)),0,IF(AND(I49=IFERROR(INDEX(Fixture!$I$5:$I$108,MATCH(D49,Fixture!$A$5:$A$108,0)),"-999"),J49=IFERROR(INDEX(Fixture!$J$5:$J$108,MATCH(D49,Fixture!$A$5:$A$108,0)),"-999")),IFERROR(INDEX(Fases!$C$5:$C$10,MATCH(IFERROR(INDEX(Fixture!$B$5:$B$108,MATCH(D49,Fixture!$A$5:$A$108,0)),0),Fases!$A$5:$A$10,0)),0),IF(OR(AND(I49&gt;J49,IFERROR(INDEX(Fixture!$I$5:$I$108,MATCH(D49,Fixture!$A$5:$A$108,0)),0)&gt;IFERROR(INDEX(Fixture!$J$5:$J$108,MATCH(D49,Fixture!$A$5:$A$108,0)),0)),AND(I49&lt;J49,IFERROR(INDEX(Fixture!$I$5:$I$108,MATCH(D49,Fixture!$A$5:$A$108,0)),0)&lt;IFERROR(INDEX(Fixture!$J$5:$J$108,MATCH(D49,Fixture!$A$5:$A$108,0)),0)),AND(I49=J49,IFERROR(INDEX(Fixture!$I$5:$I$108,MATCH(D49,Fixture!$A$5:$A$108,0)),0)=IFERROR(INDEX(Fixture!$J$5:$J$108,MATCH(D49,Fixture!$A$5:$A$108,0)),0))),IFERROR(INDEX(Fases!$D$5:$D$10,MATCH(IFERROR(INDEX(Fixture!$B$5:$B$108,MATCH(D49,Fixture!$A$5:$A$108,0)),0),Fases!$A$5:$A$10,0)),0),0))))</f>
        <v/>
      </c>
      <c r="M49" s="12" t="str">
        <f aca="false">IFERROR(INDEX(Fixture!$K$5:$K$108,MATCH(D49,Fixture!$A$5:$A$108,0)),"")</f>
        <v>PENDIENTE</v>
      </c>
    </row>
    <row r="50" customFormat="false" ht="15" hidden="false" customHeight="false" outlineLevel="0" collapsed="false">
      <c r="A50" s="9" t="n">
        <v>46</v>
      </c>
      <c r="B50" s="9" t="n">
        <v>1</v>
      </c>
      <c r="C50" s="10" t="str">
        <f aca="false">IFERROR(INDEX(Usuarios!$C$5:$C$200,MATCH(B50,Usuarios!$A$5:$A$200,0)),"")</f>
        <v>carlitos</v>
      </c>
      <c r="D50" s="9" t="n">
        <v>46</v>
      </c>
      <c r="E50" s="10" t="str">
        <f aca="false">IFERROR(INDEX(Fases!$B$5:$B$10,MATCH(INDEX(Fixture!$B$5:$B$108,MATCH(D50,Fixture!$A$5:$A$108,0)),Fases!$A$5:$A$10,0)),"")</f>
        <v>Grupos</v>
      </c>
      <c r="F50" s="10" t="str">
        <f aca="false">IFERROR(INDEX(Fixture!$E$5:$E$108,MATCH(D50,Fixture!$A$5:$A$108,0)),"")</f>
        <v>Escocia</v>
      </c>
      <c r="G50" s="10" t="str">
        <f aca="false">IFERROR(INDEX(Fixture!$F$5:$F$108,MATCH(D50,Fixture!$A$5:$A$108,0)),"")</f>
        <v>Serbia</v>
      </c>
      <c r="H50" s="22" t="n">
        <f aca="false">IFERROR(INDEX(Fixture!$G$5:$G$108,MATCH(D50,Fixture!$A$5:$A$108,0)),"")</f>
        <v>46199</v>
      </c>
      <c r="I50" s="23"/>
      <c r="J50" s="23"/>
      <c r="K50" s="10" t="str">
        <f aca="false">IFERROR(INDEX(Fixture!$I$5:$I$108,MATCH(D50,Fixture!$A$5:$A$108,0))&amp;"-"&amp;INDEX(Fixture!$J$5:$J$108,MATCH(D50,Fixture!$A$5:$A$108,0)),"")</f>
        <v>-</v>
      </c>
      <c r="L50" s="9" t="str">
        <f aca="false">IF(M50&lt;&gt;"FINALIZADO","",IF(OR(ISBLANK(I50),ISBLANK(J50)),0,IF(AND(I50=IFERROR(INDEX(Fixture!$I$5:$I$108,MATCH(D50,Fixture!$A$5:$A$108,0)),"-999"),J50=IFERROR(INDEX(Fixture!$J$5:$J$108,MATCH(D50,Fixture!$A$5:$A$108,0)),"-999")),IFERROR(INDEX(Fases!$C$5:$C$10,MATCH(IFERROR(INDEX(Fixture!$B$5:$B$108,MATCH(D50,Fixture!$A$5:$A$108,0)),0),Fases!$A$5:$A$10,0)),0),IF(OR(AND(I50&gt;J50,IFERROR(INDEX(Fixture!$I$5:$I$108,MATCH(D50,Fixture!$A$5:$A$108,0)),0)&gt;IFERROR(INDEX(Fixture!$J$5:$J$108,MATCH(D50,Fixture!$A$5:$A$108,0)),0)),AND(I50&lt;J50,IFERROR(INDEX(Fixture!$I$5:$I$108,MATCH(D50,Fixture!$A$5:$A$108,0)),0)&lt;IFERROR(INDEX(Fixture!$J$5:$J$108,MATCH(D50,Fixture!$A$5:$A$108,0)),0)),AND(I50=J50,IFERROR(INDEX(Fixture!$I$5:$I$108,MATCH(D50,Fixture!$A$5:$A$108,0)),0)=IFERROR(INDEX(Fixture!$J$5:$J$108,MATCH(D50,Fixture!$A$5:$A$108,0)),0))),IFERROR(INDEX(Fases!$D$5:$D$10,MATCH(IFERROR(INDEX(Fixture!$B$5:$B$108,MATCH(D50,Fixture!$A$5:$A$108,0)),0),Fases!$A$5:$A$10,0)),0),0))))</f>
        <v/>
      </c>
      <c r="M50" s="10" t="str">
        <f aca="false">IFERROR(INDEX(Fixture!$K$5:$K$108,MATCH(D50,Fixture!$A$5:$A$108,0)),"")</f>
        <v>PENDIENTE</v>
      </c>
    </row>
    <row r="51" customFormat="false" ht="15" hidden="false" customHeight="false" outlineLevel="0" collapsed="false">
      <c r="A51" s="11" t="n">
        <v>47</v>
      </c>
      <c r="B51" s="11" t="n">
        <v>1</v>
      </c>
      <c r="C51" s="12" t="str">
        <f aca="false">IFERROR(INDEX(Usuarios!$C$5:$C$200,MATCH(B51,Usuarios!$A$5:$A$200,0)),"")</f>
        <v>carlitos</v>
      </c>
      <c r="D51" s="11" t="n">
        <v>47</v>
      </c>
      <c r="E51" s="12" t="str">
        <f aca="false">IFERROR(INDEX(Fases!$B$5:$B$10,MATCH(INDEX(Fixture!$B$5:$B$108,MATCH(D51,Fixture!$A$5:$A$108,0)),Fases!$A$5:$A$10,0)),"")</f>
        <v>Grupos</v>
      </c>
      <c r="F51" s="12" t="str">
        <f aca="false">IFERROR(INDEX(Fixture!$E$5:$E$108,MATCH(D51,Fixture!$A$5:$A$108,0)),"")</f>
        <v>Escocia</v>
      </c>
      <c r="G51" s="12" t="str">
        <f aca="false">IFERROR(INDEX(Fixture!$F$5:$F$108,MATCH(D51,Fixture!$A$5:$A$108,0)),"")</f>
        <v>República Checa</v>
      </c>
      <c r="H51" s="20" t="n">
        <f aca="false">IFERROR(INDEX(Fixture!$G$5:$G$108,MATCH(D51,Fixture!$A$5:$A$108,0)),"")</f>
        <v>46199.625</v>
      </c>
      <c r="I51" s="21"/>
      <c r="J51" s="21"/>
      <c r="K51" s="12" t="str">
        <f aca="false">IFERROR(INDEX(Fixture!$I$5:$I$108,MATCH(D51,Fixture!$A$5:$A$108,0))&amp;"-"&amp;INDEX(Fixture!$J$5:$J$108,MATCH(D51,Fixture!$A$5:$A$108,0)),"")</f>
        <v>-</v>
      </c>
      <c r="L51" s="11" t="str">
        <f aca="false">IF(M51&lt;&gt;"FINALIZADO","",IF(OR(ISBLANK(I51),ISBLANK(J51)),0,IF(AND(I51=IFERROR(INDEX(Fixture!$I$5:$I$108,MATCH(D51,Fixture!$A$5:$A$108,0)),"-999"),J51=IFERROR(INDEX(Fixture!$J$5:$J$108,MATCH(D51,Fixture!$A$5:$A$108,0)),"-999")),IFERROR(INDEX(Fases!$C$5:$C$10,MATCH(IFERROR(INDEX(Fixture!$B$5:$B$108,MATCH(D51,Fixture!$A$5:$A$108,0)),0),Fases!$A$5:$A$10,0)),0),IF(OR(AND(I51&gt;J51,IFERROR(INDEX(Fixture!$I$5:$I$108,MATCH(D51,Fixture!$A$5:$A$108,0)),0)&gt;IFERROR(INDEX(Fixture!$J$5:$J$108,MATCH(D51,Fixture!$A$5:$A$108,0)),0)),AND(I51&lt;J51,IFERROR(INDEX(Fixture!$I$5:$I$108,MATCH(D51,Fixture!$A$5:$A$108,0)),0)&lt;IFERROR(INDEX(Fixture!$J$5:$J$108,MATCH(D51,Fixture!$A$5:$A$108,0)),0)),AND(I51=J51,IFERROR(INDEX(Fixture!$I$5:$I$108,MATCH(D51,Fixture!$A$5:$A$108,0)),0)=IFERROR(INDEX(Fixture!$J$5:$J$108,MATCH(D51,Fixture!$A$5:$A$108,0)),0))),IFERROR(INDEX(Fases!$D$5:$D$10,MATCH(IFERROR(INDEX(Fixture!$B$5:$B$108,MATCH(D51,Fixture!$A$5:$A$108,0)),0),Fases!$A$5:$A$10,0)),0),0))))</f>
        <v/>
      </c>
      <c r="M51" s="12" t="str">
        <f aca="false">IFERROR(INDEX(Fixture!$K$5:$K$108,MATCH(D51,Fixture!$A$5:$A$108,0)),"")</f>
        <v>PENDIENTE</v>
      </c>
    </row>
    <row r="52" customFormat="false" ht="15" hidden="false" customHeight="false" outlineLevel="0" collapsed="false">
      <c r="A52" s="9" t="n">
        <v>48</v>
      </c>
      <c r="B52" s="9" t="n">
        <v>1</v>
      </c>
      <c r="C52" s="10" t="str">
        <f aca="false">IFERROR(INDEX(Usuarios!$C$5:$C$200,MATCH(B52,Usuarios!$A$5:$A$200,0)),"")</f>
        <v>carlitos</v>
      </c>
      <c r="D52" s="9" t="n">
        <v>48</v>
      </c>
      <c r="E52" s="10" t="str">
        <f aca="false">IFERROR(INDEX(Fases!$B$5:$B$10,MATCH(INDEX(Fixture!$B$5:$B$108,MATCH(D52,Fixture!$A$5:$A$108,0)),Fases!$A$5:$A$10,0)),"")</f>
        <v>Grupos</v>
      </c>
      <c r="F52" s="10" t="str">
        <f aca="false">IFERROR(INDEX(Fixture!$E$5:$E$108,MATCH(D52,Fixture!$A$5:$A$108,0)),"")</f>
        <v>Serbia</v>
      </c>
      <c r="G52" s="10" t="str">
        <f aca="false">IFERROR(INDEX(Fixture!$F$5:$F$108,MATCH(D52,Fixture!$A$5:$A$108,0)),"")</f>
        <v>República Checa</v>
      </c>
      <c r="H52" s="22" t="n">
        <f aca="false">IFERROR(INDEX(Fixture!$G$5:$G$108,MATCH(D52,Fixture!$A$5:$A$108,0)),"")</f>
        <v>46199.75</v>
      </c>
      <c r="I52" s="23"/>
      <c r="J52" s="23"/>
      <c r="K52" s="10" t="str">
        <f aca="false">IFERROR(INDEX(Fixture!$I$5:$I$108,MATCH(D52,Fixture!$A$5:$A$108,0))&amp;"-"&amp;INDEX(Fixture!$J$5:$J$108,MATCH(D52,Fixture!$A$5:$A$108,0)),"")</f>
        <v>-</v>
      </c>
      <c r="L52" s="9" t="str">
        <f aca="false">IF(M52&lt;&gt;"FINALIZADO","",IF(OR(ISBLANK(I52),ISBLANK(J52)),0,IF(AND(I52=IFERROR(INDEX(Fixture!$I$5:$I$108,MATCH(D52,Fixture!$A$5:$A$108,0)),"-999"),J52=IFERROR(INDEX(Fixture!$J$5:$J$108,MATCH(D52,Fixture!$A$5:$A$108,0)),"-999")),IFERROR(INDEX(Fases!$C$5:$C$10,MATCH(IFERROR(INDEX(Fixture!$B$5:$B$108,MATCH(D52,Fixture!$A$5:$A$108,0)),0),Fases!$A$5:$A$10,0)),0),IF(OR(AND(I52&gt;J52,IFERROR(INDEX(Fixture!$I$5:$I$108,MATCH(D52,Fixture!$A$5:$A$108,0)),0)&gt;IFERROR(INDEX(Fixture!$J$5:$J$108,MATCH(D52,Fixture!$A$5:$A$108,0)),0)),AND(I52&lt;J52,IFERROR(INDEX(Fixture!$I$5:$I$108,MATCH(D52,Fixture!$A$5:$A$108,0)),0)&lt;IFERROR(INDEX(Fixture!$J$5:$J$108,MATCH(D52,Fixture!$A$5:$A$108,0)),0)),AND(I52=J52,IFERROR(INDEX(Fixture!$I$5:$I$108,MATCH(D52,Fixture!$A$5:$A$108,0)),0)=IFERROR(INDEX(Fixture!$J$5:$J$108,MATCH(D52,Fixture!$A$5:$A$108,0)),0))),IFERROR(INDEX(Fases!$D$5:$D$10,MATCH(IFERROR(INDEX(Fixture!$B$5:$B$108,MATCH(D52,Fixture!$A$5:$A$108,0)),0),Fases!$A$5:$A$10,0)),0),0))))</f>
        <v/>
      </c>
      <c r="M52" s="10" t="str">
        <f aca="false">IFERROR(INDEX(Fixture!$K$5:$K$108,MATCH(D52,Fixture!$A$5:$A$108,0)),"")</f>
        <v>PENDIENTE</v>
      </c>
    </row>
    <row r="53" customFormat="false" ht="15" hidden="false" customHeight="false" outlineLevel="0" collapsed="false">
      <c r="A53" s="11" t="n">
        <v>49</v>
      </c>
      <c r="B53" s="11" t="n">
        <v>1</v>
      </c>
      <c r="C53" s="12" t="str">
        <f aca="false">IFERROR(INDEX(Usuarios!$C$5:$C$200,MATCH(B53,Usuarios!$A$5:$A$200,0)),"")</f>
        <v>carlitos</v>
      </c>
      <c r="D53" s="11" t="n">
        <v>49</v>
      </c>
      <c r="E53" s="12" t="str">
        <f aca="false">IFERROR(INDEX(Fases!$B$5:$B$10,MATCH(INDEX(Fixture!$B$5:$B$108,MATCH(D53,Fixture!$A$5:$A$108,0)),Fases!$A$5:$A$10,0)),"")</f>
        <v>Grupos</v>
      </c>
      <c r="F53" s="12" t="str">
        <f aca="false">IFERROR(INDEX(Fixture!$E$5:$E$108,MATCH(D53,Fixture!$A$5:$A$108,0)),"")</f>
        <v>Marruecos</v>
      </c>
      <c r="G53" s="12" t="str">
        <f aca="false">IFERROR(INDEX(Fixture!$F$5:$F$108,MATCH(D53,Fixture!$A$5:$A$108,0)),"")</f>
        <v>Senegal</v>
      </c>
      <c r="H53" s="20" t="n">
        <f aca="false">IFERROR(INDEX(Fixture!$G$5:$G$108,MATCH(D53,Fixture!$A$5:$A$108,0)),"")</f>
        <v>46200.625</v>
      </c>
      <c r="I53" s="21"/>
      <c r="J53" s="21"/>
      <c r="K53" s="12" t="str">
        <f aca="false">IFERROR(INDEX(Fixture!$I$5:$I$108,MATCH(D53,Fixture!$A$5:$A$108,0))&amp;"-"&amp;INDEX(Fixture!$J$5:$J$108,MATCH(D53,Fixture!$A$5:$A$108,0)),"")</f>
        <v>-</v>
      </c>
      <c r="L53" s="11" t="str">
        <f aca="false">IF(M53&lt;&gt;"FINALIZADO","",IF(OR(ISBLANK(I53),ISBLANK(J53)),0,IF(AND(I53=IFERROR(INDEX(Fixture!$I$5:$I$108,MATCH(D53,Fixture!$A$5:$A$108,0)),"-999"),J53=IFERROR(INDEX(Fixture!$J$5:$J$108,MATCH(D53,Fixture!$A$5:$A$108,0)),"-999")),IFERROR(INDEX(Fases!$C$5:$C$10,MATCH(IFERROR(INDEX(Fixture!$B$5:$B$108,MATCH(D53,Fixture!$A$5:$A$108,0)),0),Fases!$A$5:$A$10,0)),0),IF(OR(AND(I53&gt;J53,IFERROR(INDEX(Fixture!$I$5:$I$108,MATCH(D53,Fixture!$A$5:$A$108,0)),0)&gt;IFERROR(INDEX(Fixture!$J$5:$J$108,MATCH(D53,Fixture!$A$5:$A$108,0)),0)),AND(I53&lt;J53,IFERROR(INDEX(Fixture!$I$5:$I$108,MATCH(D53,Fixture!$A$5:$A$108,0)),0)&lt;IFERROR(INDEX(Fixture!$J$5:$J$108,MATCH(D53,Fixture!$A$5:$A$108,0)),0)),AND(I53=J53,IFERROR(INDEX(Fixture!$I$5:$I$108,MATCH(D53,Fixture!$A$5:$A$108,0)),0)=IFERROR(INDEX(Fixture!$J$5:$J$108,MATCH(D53,Fixture!$A$5:$A$108,0)),0))),IFERROR(INDEX(Fases!$D$5:$D$10,MATCH(IFERROR(INDEX(Fixture!$B$5:$B$108,MATCH(D53,Fixture!$A$5:$A$108,0)),0),Fases!$A$5:$A$10,0)),0),0))))</f>
        <v/>
      </c>
      <c r="M53" s="12" t="str">
        <f aca="false">IFERROR(INDEX(Fixture!$K$5:$K$108,MATCH(D53,Fixture!$A$5:$A$108,0)),"")</f>
        <v>PENDIENTE</v>
      </c>
    </row>
    <row r="54" customFormat="false" ht="15" hidden="false" customHeight="false" outlineLevel="0" collapsed="false">
      <c r="A54" s="9" t="n">
        <v>50</v>
      </c>
      <c r="B54" s="9" t="n">
        <v>1</v>
      </c>
      <c r="C54" s="10" t="str">
        <f aca="false">IFERROR(INDEX(Usuarios!$C$5:$C$200,MATCH(B54,Usuarios!$A$5:$A$200,0)),"")</f>
        <v>carlitos</v>
      </c>
      <c r="D54" s="9" t="n">
        <v>50</v>
      </c>
      <c r="E54" s="10" t="str">
        <f aca="false">IFERROR(INDEX(Fases!$B$5:$B$10,MATCH(INDEX(Fixture!$B$5:$B$108,MATCH(D54,Fixture!$A$5:$A$108,0)),Fases!$A$5:$A$10,0)),"")</f>
        <v>Grupos</v>
      </c>
      <c r="F54" s="10" t="str">
        <f aca="false">IFERROR(INDEX(Fixture!$E$5:$E$108,MATCH(D54,Fixture!$A$5:$A$108,0)),"")</f>
        <v>Marruecos</v>
      </c>
      <c r="G54" s="10" t="str">
        <f aca="false">IFERROR(INDEX(Fixture!$F$5:$F$108,MATCH(D54,Fixture!$A$5:$A$108,0)),"")</f>
        <v>Nigeria</v>
      </c>
      <c r="H54" s="22" t="n">
        <f aca="false">IFERROR(INDEX(Fixture!$G$5:$G$108,MATCH(D54,Fixture!$A$5:$A$108,0)),"")</f>
        <v>46200.75</v>
      </c>
      <c r="I54" s="23"/>
      <c r="J54" s="23"/>
      <c r="K54" s="10" t="str">
        <f aca="false">IFERROR(INDEX(Fixture!$I$5:$I$108,MATCH(D54,Fixture!$A$5:$A$108,0))&amp;"-"&amp;INDEX(Fixture!$J$5:$J$108,MATCH(D54,Fixture!$A$5:$A$108,0)),"")</f>
        <v>-</v>
      </c>
      <c r="L54" s="9" t="str">
        <f aca="false">IF(M54&lt;&gt;"FINALIZADO","",IF(OR(ISBLANK(I54),ISBLANK(J54)),0,IF(AND(I54=IFERROR(INDEX(Fixture!$I$5:$I$108,MATCH(D54,Fixture!$A$5:$A$108,0)),"-999"),J54=IFERROR(INDEX(Fixture!$J$5:$J$108,MATCH(D54,Fixture!$A$5:$A$108,0)),"-999")),IFERROR(INDEX(Fases!$C$5:$C$10,MATCH(IFERROR(INDEX(Fixture!$B$5:$B$108,MATCH(D54,Fixture!$A$5:$A$108,0)),0),Fases!$A$5:$A$10,0)),0),IF(OR(AND(I54&gt;J54,IFERROR(INDEX(Fixture!$I$5:$I$108,MATCH(D54,Fixture!$A$5:$A$108,0)),0)&gt;IFERROR(INDEX(Fixture!$J$5:$J$108,MATCH(D54,Fixture!$A$5:$A$108,0)),0)),AND(I54&lt;J54,IFERROR(INDEX(Fixture!$I$5:$I$108,MATCH(D54,Fixture!$A$5:$A$108,0)),0)&lt;IFERROR(INDEX(Fixture!$J$5:$J$108,MATCH(D54,Fixture!$A$5:$A$108,0)),0)),AND(I54=J54,IFERROR(INDEX(Fixture!$I$5:$I$108,MATCH(D54,Fixture!$A$5:$A$108,0)),0)=IFERROR(INDEX(Fixture!$J$5:$J$108,MATCH(D54,Fixture!$A$5:$A$108,0)),0))),IFERROR(INDEX(Fases!$D$5:$D$10,MATCH(IFERROR(INDEX(Fixture!$B$5:$B$108,MATCH(D54,Fixture!$A$5:$A$108,0)),0),Fases!$A$5:$A$10,0)),0),0))))</f>
        <v/>
      </c>
      <c r="M54" s="10" t="str">
        <f aca="false">IFERROR(INDEX(Fixture!$K$5:$K$108,MATCH(D54,Fixture!$A$5:$A$108,0)),"")</f>
        <v>PENDIENTE</v>
      </c>
    </row>
    <row r="55" customFormat="false" ht="15" hidden="false" customHeight="false" outlineLevel="0" collapsed="false">
      <c r="A55" s="11" t="n">
        <v>51</v>
      </c>
      <c r="B55" s="11" t="n">
        <v>1</v>
      </c>
      <c r="C55" s="12" t="str">
        <f aca="false">IFERROR(INDEX(Usuarios!$C$5:$C$200,MATCH(B55,Usuarios!$A$5:$A$200,0)),"")</f>
        <v>carlitos</v>
      </c>
      <c r="D55" s="11" t="n">
        <v>51</v>
      </c>
      <c r="E55" s="12" t="str">
        <f aca="false">IFERROR(INDEX(Fases!$B$5:$B$10,MATCH(INDEX(Fixture!$B$5:$B$108,MATCH(D55,Fixture!$A$5:$A$108,0)),Fases!$A$5:$A$10,0)),"")</f>
        <v>Grupos</v>
      </c>
      <c r="F55" s="12" t="str">
        <f aca="false">IFERROR(INDEX(Fixture!$E$5:$E$108,MATCH(D55,Fixture!$A$5:$A$108,0)),"")</f>
        <v>Marruecos</v>
      </c>
      <c r="G55" s="12" t="str">
        <f aca="false">IFERROR(INDEX(Fixture!$F$5:$F$108,MATCH(D55,Fixture!$A$5:$A$108,0)),"")</f>
        <v>Camerún</v>
      </c>
      <c r="H55" s="20" t="n">
        <f aca="false">IFERROR(INDEX(Fixture!$G$5:$G$108,MATCH(D55,Fixture!$A$5:$A$108,0)),"")</f>
        <v>46200.875</v>
      </c>
      <c r="I55" s="21"/>
      <c r="J55" s="21"/>
      <c r="K55" s="12" t="str">
        <f aca="false">IFERROR(INDEX(Fixture!$I$5:$I$108,MATCH(D55,Fixture!$A$5:$A$108,0))&amp;"-"&amp;INDEX(Fixture!$J$5:$J$108,MATCH(D55,Fixture!$A$5:$A$108,0)),"")</f>
        <v>-</v>
      </c>
      <c r="L55" s="11" t="str">
        <f aca="false">IF(M55&lt;&gt;"FINALIZADO","",IF(OR(ISBLANK(I55),ISBLANK(J55)),0,IF(AND(I55=IFERROR(INDEX(Fixture!$I$5:$I$108,MATCH(D55,Fixture!$A$5:$A$108,0)),"-999"),J55=IFERROR(INDEX(Fixture!$J$5:$J$108,MATCH(D55,Fixture!$A$5:$A$108,0)),"-999")),IFERROR(INDEX(Fases!$C$5:$C$10,MATCH(IFERROR(INDEX(Fixture!$B$5:$B$108,MATCH(D55,Fixture!$A$5:$A$108,0)),0),Fases!$A$5:$A$10,0)),0),IF(OR(AND(I55&gt;J55,IFERROR(INDEX(Fixture!$I$5:$I$108,MATCH(D55,Fixture!$A$5:$A$108,0)),0)&gt;IFERROR(INDEX(Fixture!$J$5:$J$108,MATCH(D55,Fixture!$A$5:$A$108,0)),0)),AND(I55&lt;J55,IFERROR(INDEX(Fixture!$I$5:$I$108,MATCH(D55,Fixture!$A$5:$A$108,0)),0)&lt;IFERROR(INDEX(Fixture!$J$5:$J$108,MATCH(D55,Fixture!$A$5:$A$108,0)),0)),AND(I55=J55,IFERROR(INDEX(Fixture!$I$5:$I$108,MATCH(D55,Fixture!$A$5:$A$108,0)),0)=IFERROR(INDEX(Fixture!$J$5:$J$108,MATCH(D55,Fixture!$A$5:$A$108,0)),0))),IFERROR(INDEX(Fases!$D$5:$D$10,MATCH(IFERROR(INDEX(Fixture!$B$5:$B$108,MATCH(D55,Fixture!$A$5:$A$108,0)),0),Fases!$A$5:$A$10,0)),0),0))))</f>
        <v/>
      </c>
      <c r="M55" s="12" t="str">
        <f aca="false">IFERROR(INDEX(Fixture!$K$5:$K$108,MATCH(D55,Fixture!$A$5:$A$108,0)),"")</f>
        <v>PENDIENTE</v>
      </c>
    </row>
    <row r="56" customFormat="false" ht="15" hidden="false" customHeight="false" outlineLevel="0" collapsed="false">
      <c r="A56" s="9" t="n">
        <v>52</v>
      </c>
      <c r="B56" s="9" t="n">
        <v>1</v>
      </c>
      <c r="C56" s="10" t="str">
        <f aca="false">IFERROR(INDEX(Usuarios!$C$5:$C$200,MATCH(B56,Usuarios!$A$5:$A$200,0)),"")</f>
        <v>carlitos</v>
      </c>
      <c r="D56" s="9" t="n">
        <v>52</v>
      </c>
      <c r="E56" s="10" t="str">
        <f aca="false">IFERROR(INDEX(Fases!$B$5:$B$10,MATCH(INDEX(Fixture!$B$5:$B$108,MATCH(D56,Fixture!$A$5:$A$108,0)),Fases!$A$5:$A$10,0)),"")</f>
        <v>Grupos</v>
      </c>
      <c r="F56" s="10" t="str">
        <f aca="false">IFERROR(INDEX(Fixture!$E$5:$E$108,MATCH(D56,Fixture!$A$5:$A$108,0)),"")</f>
        <v>Senegal</v>
      </c>
      <c r="G56" s="10" t="str">
        <f aca="false">IFERROR(INDEX(Fixture!$F$5:$F$108,MATCH(D56,Fixture!$A$5:$A$108,0)),"")</f>
        <v>Nigeria</v>
      </c>
      <c r="H56" s="22" t="n">
        <f aca="false">IFERROR(INDEX(Fixture!$G$5:$G$108,MATCH(D56,Fixture!$A$5:$A$108,0)),"")</f>
        <v>46201</v>
      </c>
      <c r="I56" s="23"/>
      <c r="J56" s="23"/>
      <c r="K56" s="10" t="str">
        <f aca="false">IFERROR(INDEX(Fixture!$I$5:$I$108,MATCH(D56,Fixture!$A$5:$A$108,0))&amp;"-"&amp;INDEX(Fixture!$J$5:$J$108,MATCH(D56,Fixture!$A$5:$A$108,0)),"")</f>
        <v>-</v>
      </c>
      <c r="L56" s="9" t="str">
        <f aca="false">IF(M56&lt;&gt;"FINALIZADO","",IF(OR(ISBLANK(I56),ISBLANK(J56)),0,IF(AND(I56=IFERROR(INDEX(Fixture!$I$5:$I$108,MATCH(D56,Fixture!$A$5:$A$108,0)),"-999"),J56=IFERROR(INDEX(Fixture!$J$5:$J$108,MATCH(D56,Fixture!$A$5:$A$108,0)),"-999")),IFERROR(INDEX(Fases!$C$5:$C$10,MATCH(IFERROR(INDEX(Fixture!$B$5:$B$108,MATCH(D56,Fixture!$A$5:$A$108,0)),0),Fases!$A$5:$A$10,0)),0),IF(OR(AND(I56&gt;J56,IFERROR(INDEX(Fixture!$I$5:$I$108,MATCH(D56,Fixture!$A$5:$A$108,0)),0)&gt;IFERROR(INDEX(Fixture!$J$5:$J$108,MATCH(D56,Fixture!$A$5:$A$108,0)),0)),AND(I56&lt;J56,IFERROR(INDEX(Fixture!$I$5:$I$108,MATCH(D56,Fixture!$A$5:$A$108,0)),0)&lt;IFERROR(INDEX(Fixture!$J$5:$J$108,MATCH(D56,Fixture!$A$5:$A$108,0)),0)),AND(I56=J56,IFERROR(INDEX(Fixture!$I$5:$I$108,MATCH(D56,Fixture!$A$5:$A$108,0)),0)=IFERROR(INDEX(Fixture!$J$5:$J$108,MATCH(D56,Fixture!$A$5:$A$108,0)),0))),IFERROR(INDEX(Fases!$D$5:$D$10,MATCH(IFERROR(INDEX(Fixture!$B$5:$B$108,MATCH(D56,Fixture!$A$5:$A$108,0)),0),Fases!$A$5:$A$10,0)),0),0))))</f>
        <v/>
      </c>
      <c r="M56" s="10" t="str">
        <f aca="false">IFERROR(INDEX(Fixture!$K$5:$K$108,MATCH(D56,Fixture!$A$5:$A$108,0)),"")</f>
        <v>PENDIENTE</v>
      </c>
    </row>
    <row r="57" customFormat="false" ht="15" hidden="false" customHeight="false" outlineLevel="0" collapsed="false">
      <c r="A57" s="11" t="n">
        <v>53</v>
      </c>
      <c r="B57" s="11" t="n">
        <v>1</v>
      </c>
      <c r="C57" s="12" t="str">
        <f aca="false">IFERROR(INDEX(Usuarios!$C$5:$C$200,MATCH(B57,Usuarios!$A$5:$A$200,0)),"")</f>
        <v>carlitos</v>
      </c>
      <c r="D57" s="11" t="n">
        <v>53</v>
      </c>
      <c r="E57" s="12" t="str">
        <f aca="false">IFERROR(INDEX(Fases!$B$5:$B$10,MATCH(INDEX(Fixture!$B$5:$B$108,MATCH(D57,Fixture!$A$5:$A$108,0)),Fases!$A$5:$A$10,0)),"")</f>
        <v>Grupos</v>
      </c>
      <c r="F57" s="12" t="str">
        <f aca="false">IFERROR(INDEX(Fixture!$E$5:$E$108,MATCH(D57,Fixture!$A$5:$A$108,0)),"")</f>
        <v>Senegal</v>
      </c>
      <c r="G57" s="12" t="str">
        <f aca="false">IFERROR(INDEX(Fixture!$F$5:$F$108,MATCH(D57,Fixture!$A$5:$A$108,0)),"")</f>
        <v>Camerún</v>
      </c>
      <c r="H57" s="20" t="n">
        <f aca="false">IFERROR(INDEX(Fixture!$G$5:$G$108,MATCH(D57,Fixture!$A$5:$A$108,0)),"")</f>
        <v>46201.625</v>
      </c>
      <c r="I57" s="21"/>
      <c r="J57" s="21"/>
      <c r="K57" s="12" t="str">
        <f aca="false">IFERROR(INDEX(Fixture!$I$5:$I$108,MATCH(D57,Fixture!$A$5:$A$108,0))&amp;"-"&amp;INDEX(Fixture!$J$5:$J$108,MATCH(D57,Fixture!$A$5:$A$108,0)),"")</f>
        <v>-</v>
      </c>
      <c r="L57" s="11" t="str">
        <f aca="false">IF(M57&lt;&gt;"FINALIZADO","",IF(OR(ISBLANK(I57),ISBLANK(J57)),0,IF(AND(I57=IFERROR(INDEX(Fixture!$I$5:$I$108,MATCH(D57,Fixture!$A$5:$A$108,0)),"-999"),J57=IFERROR(INDEX(Fixture!$J$5:$J$108,MATCH(D57,Fixture!$A$5:$A$108,0)),"-999")),IFERROR(INDEX(Fases!$C$5:$C$10,MATCH(IFERROR(INDEX(Fixture!$B$5:$B$108,MATCH(D57,Fixture!$A$5:$A$108,0)),0),Fases!$A$5:$A$10,0)),0),IF(OR(AND(I57&gt;J57,IFERROR(INDEX(Fixture!$I$5:$I$108,MATCH(D57,Fixture!$A$5:$A$108,0)),0)&gt;IFERROR(INDEX(Fixture!$J$5:$J$108,MATCH(D57,Fixture!$A$5:$A$108,0)),0)),AND(I57&lt;J57,IFERROR(INDEX(Fixture!$I$5:$I$108,MATCH(D57,Fixture!$A$5:$A$108,0)),0)&lt;IFERROR(INDEX(Fixture!$J$5:$J$108,MATCH(D57,Fixture!$A$5:$A$108,0)),0)),AND(I57=J57,IFERROR(INDEX(Fixture!$I$5:$I$108,MATCH(D57,Fixture!$A$5:$A$108,0)),0)=IFERROR(INDEX(Fixture!$J$5:$J$108,MATCH(D57,Fixture!$A$5:$A$108,0)),0))),IFERROR(INDEX(Fases!$D$5:$D$10,MATCH(IFERROR(INDEX(Fixture!$B$5:$B$108,MATCH(D57,Fixture!$A$5:$A$108,0)),0),Fases!$A$5:$A$10,0)),0),0))))</f>
        <v/>
      </c>
      <c r="M57" s="12" t="str">
        <f aca="false">IFERROR(INDEX(Fixture!$K$5:$K$108,MATCH(D57,Fixture!$A$5:$A$108,0)),"")</f>
        <v>PENDIENTE</v>
      </c>
    </row>
    <row r="58" customFormat="false" ht="15" hidden="false" customHeight="false" outlineLevel="0" collapsed="false">
      <c r="A58" s="9" t="n">
        <v>54</v>
      </c>
      <c r="B58" s="9" t="n">
        <v>1</v>
      </c>
      <c r="C58" s="10" t="str">
        <f aca="false">IFERROR(INDEX(Usuarios!$C$5:$C$200,MATCH(B58,Usuarios!$A$5:$A$200,0)),"")</f>
        <v>carlitos</v>
      </c>
      <c r="D58" s="9" t="n">
        <v>54</v>
      </c>
      <c r="E58" s="10" t="str">
        <f aca="false">IFERROR(INDEX(Fases!$B$5:$B$10,MATCH(INDEX(Fixture!$B$5:$B$108,MATCH(D58,Fixture!$A$5:$A$108,0)),Fases!$A$5:$A$10,0)),"")</f>
        <v>Grupos</v>
      </c>
      <c r="F58" s="10" t="str">
        <f aca="false">IFERROR(INDEX(Fixture!$E$5:$E$108,MATCH(D58,Fixture!$A$5:$A$108,0)),"")</f>
        <v>Nigeria</v>
      </c>
      <c r="G58" s="10" t="str">
        <f aca="false">IFERROR(INDEX(Fixture!$F$5:$F$108,MATCH(D58,Fixture!$A$5:$A$108,0)),"")</f>
        <v>Camerún</v>
      </c>
      <c r="H58" s="22" t="n">
        <f aca="false">IFERROR(INDEX(Fixture!$G$5:$G$108,MATCH(D58,Fixture!$A$5:$A$108,0)),"")</f>
        <v>46201.75</v>
      </c>
      <c r="I58" s="23"/>
      <c r="J58" s="23"/>
      <c r="K58" s="10" t="str">
        <f aca="false">IFERROR(INDEX(Fixture!$I$5:$I$108,MATCH(D58,Fixture!$A$5:$A$108,0))&amp;"-"&amp;INDEX(Fixture!$J$5:$J$108,MATCH(D58,Fixture!$A$5:$A$108,0)),"")</f>
        <v>-</v>
      </c>
      <c r="L58" s="9" t="str">
        <f aca="false">IF(M58&lt;&gt;"FINALIZADO","",IF(OR(ISBLANK(I58),ISBLANK(J58)),0,IF(AND(I58=IFERROR(INDEX(Fixture!$I$5:$I$108,MATCH(D58,Fixture!$A$5:$A$108,0)),"-999"),J58=IFERROR(INDEX(Fixture!$J$5:$J$108,MATCH(D58,Fixture!$A$5:$A$108,0)),"-999")),IFERROR(INDEX(Fases!$C$5:$C$10,MATCH(IFERROR(INDEX(Fixture!$B$5:$B$108,MATCH(D58,Fixture!$A$5:$A$108,0)),0),Fases!$A$5:$A$10,0)),0),IF(OR(AND(I58&gt;J58,IFERROR(INDEX(Fixture!$I$5:$I$108,MATCH(D58,Fixture!$A$5:$A$108,0)),0)&gt;IFERROR(INDEX(Fixture!$J$5:$J$108,MATCH(D58,Fixture!$A$5:$A$108,0)),0)),AND(I58&lt;J58,IFERROR(INDEX(Fixture!$I$5:$I$108,MATCH(D58,Fixture!$A$5:$A$108,0)),0)&lt;IFERROR(INDEX(Fixture!$J$5:$J$108,MATCH(D58,Fixture!$A$5:$A$108,0)),0)),AND(I58=J58,IFERROR(INDEX(Fixture!$I$5:$I$108,MATCH(D58,Fixture!$A$5:$A$108,0)),0)=IFERROR(INDEX(Fixture!$J$5:$J$108,MATCH(D58,Fixture!$A$5:$A$108,0)),0))),IFERROR(INDEX(Fases!$D$5:$D$10,MATCH(IFERROR(INDEX(Fixture!$B$5:$B$108,MATCH(D58,Fixture!$A$5:$A$108,0)),0),Fases!$A$5:$A$10,0)),0),0))))</f>
        <v/>
      </c>
      <c r="M58" s="10" t="str">
        <f aca="false">IFERROR(INDEX(Fixture!$K$5:$K$108,MATCH(D58,Fixture!$A$5:$A$108,0)),"")</f>
        <v>PENDIENTE</v>
      </c>
    </row>
    <row r="59" customFormat="false" ht="15" hidden="false" customHeight="false" outlineLevel="0" collapsed="false">
      <c r="A59" s="11" t="n">
        <v>55</v>
      </c>
      <c r="B59" s="11" t="n">
        <v>1</v>
      </c>
      <c r="C59" s="12" t="str">
        <f aca="false">IFERROR(INDEX(Usuarios!$C$5:$C$200,MATCH(B59,Usuarios!$A$5:$A$200,0)),"")</f>
        <v>carlitos</v>
      </c>
      <c r="D59" s="11" t="n">
        <v>55</v>
      </c>
      <c r="E59" s="12" t="str">
        <f aca="false">IFERROR(INDEX(Fases!$B$5:$B$10,MATCH(INDEX(Fixture!$B$5:$B$108,MATCH(D59,Fixture!$A$5:$A$108,0)),Fases!$A$5:$A$10,0)),"")</f>
        <v>Grupos</v>
      </c>
      <c r="F59" s="12" t="str">
        <f aca="false">IFERROR(INDEX(Fixture!$E$5:$E$108,MATCH(D59,Fixture!$A$5:$A$108,0)),"")</f>
        <v>Egipto</v>
      </c>
      <c r="G59" s="12" t="str">
        <f aca="false">IFERROR(INDEX(Fixture!$F$5:$F$108,MATCH(D59,Fixture!$A$5:$A$108,0)),"")</f>
        <v>Costa de Marfil</v>
      </c>
      <c r="H59" s="20" t="n">
        <f aca="false">IFERROR(INDEX(Fixture!$G$5:$G$108,MATCH(D59,Fixture!$A$5:$A$108,0)),"")</f>
        <v>46202.625</v>
      </c>
      <c r="I59" s="21"/>
      <c r="J59" s="21"/>
      <c r="K59" s="12" t="str">
        <f aca="false">IFERROR(INDEX(Fixture!$I$5:$I$108,MATCH(D59,Fixture!$A$5:$A$108,0))&amp;"-"&amp;INDEX(Fixture!$J$5:$J$108,MATCH(D59,Fixture!$A$5:$A$108,0)),"")</f>
        <v>-</v>
      </c>
      <c r="L59" s="11" t="str">
        <f aca="false">IF(M59&lt;&gt;"FINALIZADO","",IF(OR(ISBLANK(I59),ISBLANK(J59)),0,IF(AND(I59=IFERROR(INDEX(Fixture!$I$5:$I$108,MATCH(D59,Fixture!$A$5:$A$108,0)),"-999"),J59=IFERROR(INDEX(Fixture!$J$5:$J$108,MATCH(D59,Fixture!$A$5:$A$108,0)),"-999")),IFERROR(INDEX(Fases!$C$5:$C$10,MATCH(IFERROR(INDEX(Fixture!$B$5:$B$108,MATCH(D59,Fixture!$A$5:$A$108,0)),0),Fases!$A$5:$A$10,0)),0),IF(OR(AND(I59&gt;J59,IFERROR(INDEX(Fixture!$I$5:$I$108,MATCH(D59,Fixture!$A$5:$A$108,0)),0)&gt;IFERROR(INDEX(Fixture!$J$5:$J$108,MATCH(D59,Fixture!$A$5:$A$108,0)),0)),AND(I59&lt;J59,IFERROR(INDEX(Fixture!$I$5:$I$108,MATCH(D59,Fixture!$A$5:$A$108,0)),0)&lt;IFERROR(INDEX(Fixture!$J$5:$J$108,MATCH(D59,Fixture!$A$5:$A$108,0)),0)),AND(I59=J59,IFERROR(INDEX(Fixture!$I$5:$I$108,MATCH(D59,Fixture!$A$5:$A$108,0)),0)=IFERROR(INDEX(Fixture!$J$5:$J$108,MATCH(D59,Fixture!$A$5:$A$108,0)),0))),IFERROR(INDEX(Fases!$D$5:$D$10,MATCH(IFERROR(INDEX(Fixture!$B$5:$B$108,MATCH(D59,Fixture!$A$5:$A$108,0)),0),Fases!$A$5:$A$10,0)),0),0))))</f>
        <v/>
      </c>
      <c r="M59" s="12" t="str">
        <f aca="false">IFERROR(INDEX(Fixture!$K$5:$K$108,MATCH(D59,Fixture!$A$5:$A$108,0)),"")</f>
        <v>PENDIENTE</v>
      </c>
    </row>
    <row r="60" customFormat="false" ht="15" hidden="false" customHeight="false" outlineLevel="0" collapsed="false">
      <c r="A60" s="9" t="n">
        <v>56</v>
      </c>
      <c r="B60" s="9" t="n">
        <v>1</v>
      </c>
      <c r="C60" s="10" t="str">
        <f aca="false">IFERROR(INDEX(Usuarios!$C$5:$C$200,MATCH(B60,Usuarios!$A$5:$A$200,0)),"")</f>
        <v>carlitos</v>
      </c>
      <c r="D60" s="9" t="n">
        <v>56</v>
      </c>
      <c r="E60" s="10" t="str">
        <f aca="false">IFERROR(INDEX(Fases!$B$5:$B$10,MATCH(INDEX(Fixture!$B$5:$B$108,MATCH(D60,Fixture!$A$5:$A$108,0)),Fases!$A$5:$A$10,0)),"")</f>
        <v>Grupos</v>
      </c>
      <c r="F60" s="10" t="str">
        <f aca="false">IFERROR(INDEX(Fixture!$E$5:$E$108,MATCH(D60,Fixture!$A$5:$A$108,0)),"")</f>
        <v>Egipto</v>
      </c>
      <c r="G60" s="10" t="str">
        <f aca="false">IFERROR(INDEX(Fixture!$F$5:$F$108,MATCH(D60,Fixture!$A$5:$A$108,0)),"")</f>
        <v>Sudáfrica</v>
      </c>
      <c r="H60" s="22" t="n">
        <f aca="false">IFERROR(INDEX(Fixture!$G$5:$G$108,MATCH(D60,Fixture!$A$5:$A$108,0)),"")</f>
        <v>46202.75</v>
      </c>
      <c r="I60" s="23"/>
      <c r="J60" s="23"/>
      <c r="K60" s="10" t="str">
        <f aca="false">IFERROR(INDEX(Fixture!$I$5:$I$108,MATCH(D60,Fixture!$A$5:$A$108,0))&amp;"-"&amp;INDEX(Fixture!$J$5:$J$108,MATCH(D60,Fixture!$A$5:$A$108,0)),"")</f>
        <v>-</v>
      </c>
      <c r="L60" s="9" t="str">
        <f aca="false">IF(M60&lt;&gt;"FINALIZADO","",IF(OR(ISBLANK(I60),ISBLANK(J60)),0,IF(AND(I60=IFERROR(INDEX(Fixture!$I$5:$I$108,MATCH(D60,Fixture!$A$5:$A$108,0)),"-999"),J60=IFERROR(INDEX(Fixture!$J$5:$J$108,MATCH(D60,Fixture!$A$5:$A$108,0)),"-999")),IFERROR(INDEX(Fases!$C$5:$C$10,MATCH(IFERROR(INDEX(Fixture!$B$5:$B$108,MATCH(D60,Fixture!$A$5:$A$108,0)),0),Fases!$A$5:$A$10,0)),0),IF(OR(AND(I60&gt;J60,IFERROR(INDEX(Fixture!$I$5:$I$108,MATCH(D60,Fixture!$A$5:$A$108,0)),0)&gt;IFERROR(INDEX(Fixture!$J$5:$J$108,MATCH(D60,Fixture!$A$5:$A$108,0)),0)),AND(I60&lt;J60,IFERROR(INDEX(Fixture!$I$5:$I$108,MATCH(D60,Fixture!$A$5:$A$108,0)),0)&lt;IFERROR(INDEX(Fixture!$J$5:$J$108,MATCH(D60,Fixture!$A$5:$A$108,0)),0)),AND(I60=J60,IFERROR(INDEX(Fixture!$I$5:$I$108,MATCH(D60,Fixture!$A$5:$A$108,0)),0)=IFERROR(INDEX(Fixture!$J$5:$J$108,MATCH(D60,Fixture!$A$5:$A$108,0)),0))),IFERROR(INDEX(Fases!$D$5:$D$10,MATCH(IFERROR(INDEX(Fixture!$B$5:$B$108,MATCH(D60,Fixture!$A$5:$A$108,0)),0),Fases!$A$5:$A$10,0)),0),0))))</f>
        <v/>
      </c>
      <c r="M60" s="10" t="str">
        <f aca="false">IFERROR(INDEX(Fixture!$K$5:$K$108,MATCH(D60,Fixture!$A$5:$A$108,0)),"")</f>
        <v>PENDIENTE</v>
      </c>
    </row>
    <row r="61" customFormat="false" ht="15" hidden="false" customHeight="false" outlineLevel="0" collapsed="false">
      <c r="A61" s="11" t="n">
        <v>57</v>
      </c>
      <c r="B61" s="11" t="n">
        <v>1</v>
      </c>
      <c r="C61" s="12" t="str">
        <f aca="false">IFERROR(INDEX(Usuarios!$C$5:$C$200,MATCH(B61,Usuarios!$A$5:$A$200,0)),"")</f>
        <v>carlitos</v>
      </c>
      <c r="D61" s="11" t="n">
        <v>57</v>
      </c>
      <c r="E61" s="12" t="str">
        <f aca="false">IFERROR(INDEX(Fases!$B$5:$B$10,MATCH(INDEX(Fixture!$B$5:$B$108,MATCH(D61,Fixture!$A$5:$A$108,0)),Fases!$A$5:$A$10,0)),"")</f>
        <v>Grupos</v>
      </c>
      <c r="F61" s="12" t="str">
        <f aca="false">IFERROR(INDEX(Fixture!$E$5:$E$108,MATCH(D61,Fixture!$A$5:$A$108,0)),"")</f>
        <v>Egipto</v>
      </c>
      <c r="G61" s="12" t="str">
        <f aca="false">IFERROR(INDEX(Fixture!$F$5:$F$108,MATCH(D61,Fixture!$A$5:$A$108,0)),"")</f>
        <v>Ghana</v>
      </c>
      <c r="H61" s="20" t="n">
        <f aca="false">IFERROR(INDEX(Fixture!$G$5:$G$108,MATCH(D61,Fixture!$A$5:$A$108,0)),"")</f>
        <v>46202.875</v>
      </c>
      <c r="I61" s="21"/>
      <c r="J61" s="21"/>
      <c r="K61" s="12" t="str">
        <f aca="false">IFERROR(INDEX(Fixture!$I$5:$I$108,MATCH(D61,Fixture!$A$5:$A$108,0))&amp;"-"&amp;INDEX(Fixture!$J$5:$J$108,MATCH(D61,Fixture!$A$5:$A$108,0)),"")</f>
        <v>-</v>
      </c>
      <c r="L61" s="11" t="str">
        <f aca="false">IF(M61&lt;&gt;"FINALIZADO","",IF(OR(ISBLANK(I61),ISBLANK(J61)),0,IF(AND(I61=IFERROR(INDEX(Fixture!$I$5:$I$108,MATCH(D61,Fixture!$A$5:$A$108,0)),"-999"),J61=IFERROR(INDEX(Fixture!$J$5:$J$108,MATCH(D61,Fixture!$A$5:$A$108,0)),"-999")),IFERROR(INDEX(Fases!$C$5:$C$10,MATCH(IFERROR(INDEX(Fixture!$B$5:$B$108,MATCH(D61,Fixture!$A$5:$A$108,0)),0),Fases!$A$5:$A$10,0)),0),IF(OR(AND(I61&gt;J61,IFERROR(INDEX(Fixture!$I$5:$I$108,MATCH(D61,Fixture!$A$5:$A$108,0)),0)&gt;IFERROR(INDEX(Fixture!$J$5:$J$108,MATCH(D61,Fixture!$A$5:$A$108,0)),0)),AND(I61&lt;J61,IFERROR(INDEX(Fixture!$I$5:$I$108,MATCH(D61,Fixture!$A$5:$A$108,0)),0)&lt;IFERROR(INDEX(Fixture!$J$5:$J$108,MATCH(D61,Fixture!$A$5:$A$108,0)),0)),AND(I61=J61,IFERROR(INDEX(Fixture!$I$5:$I$108,MATCH(D61,Fixture!$A$5:$A$108,0)),0)=IFERROR(INDEX(Fixture!$J$5:$J$108,MATCH(D61,Fixture!$A$5:$A$108,0)),0))),IFERROR(INDEX(Fases!$D$5:$D$10,MATCH(IFERROR(INDEX(Fixture!$B$5:$B$108,MATCH(D61,Fixture!$A$5:$A$108,0)),0),Fases!$A$5:$A$10,0)),0),0))))</f>
        <v/>
      </c>
      <c r="M61" s="12" t="str">
        <f aca="false">IFERROR(INDEX(Fixture!$K$5:$K$108,MATCH(D61,Fixture!$A$5:$A$108,0)),"")</f>
        <v>PENDIENTE</v>
      </c>
    </row>
    <row r="62" customFormat="false" ht="15" hidden="false" customHeight="false" outlineLevel="0" collapsed="false">
      <c r="A62" s="9" t="n">
        <v>58</v>
      </c>
      <c r="B62" s="9" t="n">
        <v>1</v>
      </c>
      <c r="C62" s="10" t="str">
        <f aca="false">IFERROR(INDEX(Usuarios!$C$5:$C$200,MATCH(B62,Usuarios!$A$5:$A$200,0)),"")</f>
        <v>carlitos</v>
      </c>
      <c r="D62" s="9" t="n">
        <v>58</v>
      </c>
      <c r="E62" s="10" t="str">
        <f aca="false">IFERROR(INDEX(Fases!$B$5:$B$10,MATCH(INDEX(Fixture!$B$5:$B$108,MATCH(D62,Fixture!$A$5:$A$108,0)),Fases!$A$5:$A$10,0)),"")</f>
        <v>Grupos</v>
      </c>
      <c r="F62" s="10" t="str">
        <f aca="false">IFERROR(INDEX(Fixture!$E$5:$E$108,MATCH(D62,Fixture!$A$5:$A$108,0)),"")</f>
        <v>Costa de Marfil</v>
      </c>
      <c r="G62" s="10" t="str">
        <f aca="false">IFERROR(INDEX(Fixture!$F$5:$F$108,MATCH(D62,Fixture!$A$5:$A$108,0)),"")</f>
        <v>Sudáfrica</v>
      </c>
      <c r="H62" s="22" t="n">
        <f aca="false">IFERROR(INDEX(Fixture!$G$5:$G$108,MATCH(D62,Fixture!$A$5:$A$108,0)),"")</f>
        <v>46203</v>
      </c>
      <c r="I62" s="23"/>
      <c r="J62" s="23"/>
      <c r="K62" s="10" t="str">
        <f aca="false">IFERROR(INDEX(Fixture!$I$5:$I$108,MATCH(D62,Fixture!$A$5:$A$108,0))&amp;"-"&amp;INDEX(Fixture!$J$5:$J$108,MATCH(D62,Fixture!$A$5:$A$108,0)),"")</f>
        <v>-</v>
      </c>
      <c r="L62" s="9" t="str">
        <f aca="false">IF(M62&lt;&gt;"FINALIZADO","",IF(OR(ISBLANK(I62),ISBLANK(J62)),0,IF(AND(I62=IFERROR(INDEX(Fixture!$I$5:$I$108,MATCH(D62,Fixture!$A$5:$A$108,0)),"-999"),J62=IFERROR(INDEX(Fixture!$J$5:$J$108,MATCH(D62,Fixture!$A$5:$A$108,0)),"-999")),IFERROR(INDEX(Fases!$C$5:$C$10,MATCH(IFERROR(INDEX(Fixture!$B$5:$B$108,MATCH(D62,Fixture!$A$5:$A$108,0)),0),Fases!$A$5:$A$10,0)),0),IF(OR(AND(I62&gt;J62,IFERROR(INDEX(Fixture!$I$5:$I$108,MATCH(D62,Fixture!$A$5:$A$108,0)),0)&gt;IFERROR(INDEX(Fixture!$J$5:$J$108,MATCH(D62,Fixture!$A$5:$A$108,0)),0)),AND(I62&lt;J62,IFERROR(INDEX(Fixture!$I$5:$I$108,MATCH(D62,Fixture!$A$5:$A$108,0)),0)&lt;IFERROR(INDEX(Fixture!$J$5:$J$108,MATCH(D62,Fixture!$A$5:$A$108,0)),0)),AND(I62=J62,IFERROR(INDEX(Fixture!$I$5:$I$108,MATCH(D62,Fixture!$A$5:$A$108,0)),0)=IFERROR(INDEX(Fixture!$J$5:$J$108,MATCH(D62,Fixture!$A$5:$A$108,0)),0))),IFERROR(INDEX(Fases!$D$5:$D$10,MATCH(IFERROR(INDEX(Fixture!$B$5:$B$108,MATCH(D62,Fixture!$A$5:$A$108,0)),0),Fases!$A$5:$A$10,0)),0),0))))</f>
        <v/>
      </c>
      <c r="M62" s="10" t="str">
        <f aca="false">IFERROR(INDEX(Fixture!$K$5:$K$108,MATCH(D62,Fixture!$A$5:$A$108,0)),"")</f>
        <v>PENDIENTE</v>
      </c>
    </row>
    <row r="63" customFormat="false" ht="15" hidden="false" customHeight="false" outlineLevel="0" collapsed="false">
      <c r="A63" s="11" t="n">
        <v>59</v>
      </c>
      <c r="B63" s="11" t="n">
        <v>1</v>
      </c>
      <c r="C63" s="12" t="str">
        <f aca="false">IFERROR(INDEX(Usuarios!$C$5:$C$200,MATCH(B63,Usuarios!$A$5:$A$200,0)),"")</f>
        <v>carlitos</v>
      </c>
      <c r="D63" s="11" t="n">
        <v>59</v>
      </c>
      <c r="E63" s="12" t="str">
        <f aca="false">IFERROR(INDEX(Fases!$B$5:$B$10,MATCH(INDEX(Fixture!$B$5:$B$108,MATCH(D63,Fixture!$A$5:$A$108,0)),Fases!$A$5:$A$10,0)),"")</f>
        <v>Grupos</v>
      </c>
      <c r="F63" s="12" t="str">
        <f aca="false">IFERROR(INDEX(Fixture!$E$5:$E$108,MATCH(D63,Fixture!$A$5:$A$108,0)),"")</f>
        <v>Costa de Marfil</v>
      </c>
      <c r="G63" s="12" t="str">
        <f aca="false">IFERROR(INDEX(Fixture!$F$5:$F$108,MATCH(D63,Fixture!$A$5:$A$108,0)),"")</f>
        <v>Ghana</v>
      </c>
      <c r="H63" s="20" t="n">
        <f aca="false">IFERROR(INDEX(Fixture!$G$5:$G$108,MATCH(D63,Fixture!$A$5:$A$108,0)),"")</f>
        <v>46203.625</v>
      </c>
      <c r="I63" s="21"/>
      <c r="J63" s="21"/>
      <c r="K63" s="12" t="str">
        <f aca="false">IFERROR(INDEX(Fixture!$I$5:$I$108,MATCH(D63,Fixture!$A$5:$A$108,0))&amp;"-"&amp;INDEX(Fixture!$J$5:$J$108,MATCH(D63,Fixture!$A$5:$A$108,0)),"")</f>
        <v>-</v>
      </c>
      <c r="L63" s="11" t="str">
        <f aca="false">IF(M63&lt;&gt;"FINALIZADO","",IF(OR(ISBLANK(I63),ISBLANK(J63)),0,IF(AND(I63=IFERROR(INDEX(Fixture!$I$5:$I$108,MATCH(D63,Fixture!$A$5:$A$108,0)),"-999"),J63=IFERROR(INDEX(Fixture!$J$5:$J$108,MATCH(D63,Fixture!$A$5:$A$108,0)),"-999")),IFERROR(INDEX(Fases!$C$5:$C$10,MATCH(IFERROR(INDEX(Fixture!$B$5:$B$108,MATCH(D63,Fixture!$A$5:$A$108,0)),0),Fases!$A$5:$A$10,0)),0),IF(OR(AND(I63&gt;J63,IFERROR(INDEX(Fixture!$I$5:$I$108,MATCH(D63,Fixture!$A$5:$A$108,0)),0)&gt;IFERROR(INDEX(Fixture!$J$5:$J$108,MATCH(D63,Fixture!$A$5:$A$108,0)),0)),AND(I63&lt;J63,IFERROR(INDEX(Fixture!$I$5:$I$108,MATCH(D63,Fixture!$A$5:$A$108,0)),0)&lt;IFERROR(INDEX(Fixture!$J$5:$J$108,MATCH(D63,Fixture!$A$5:$A$108,0)),0)),AND(I63=J63,IFERROR(INDEX(Fixture!$I$5:$I$108,MATCH(D63,Fixture!$A$5:$A$108,0)),0)=IFERROR(INDEX(Fixture!$J$5:$J$108,MATCH(D63,Fixture!$A$5:$A$108,0)),0))),IFERROR(INDEX(Fases!$D$5:$D$10,MATCH(IFERROR(INDEX(Fixture!$B$5:$B$108,MATCH(D63,Fixture!$A$5:$A$108,0)),0),Fases!$A$5:$A$10,0)),0),0))))</f>
        <v/>
      </c>
      <c r="M63" s="12" t="str">
        <f aca="false">IFERROR(INDEX(Fixture!$K$5:$K$108,MATCH(D63,Fixture!$A$5:$A$108,0)),"")</f>
        <v>PENDIENTE</v>
      </c>
    </row>
    <row r="64" customFormat="false" ht="15" hidden="false" customHeight="false" outlineLevel="0" collapsed="false">
      <c r="A64" s="9" t="n">
        <v>60</v>
      </c>
      <c r="B64" s="9" t="n">
        <v>1</v>
      </c>
      <c r="C64" s="10" t="str">
        <f aca="false">IFERROR(INDEX(Usuarios!$C$5:$C$200,MATCH(B64,Usuarios!$A$5:$A$200,0)),"")</f>
        <v>carlitos</v>
      </c>
      <c r="D64" s="9" t="n">
        <v>60</v>
      </c>
      <c r="E64" s="10" t="str">
        <f aca="false">IFERROR(INDEX(Fases!$B$5:$B$10,MATCH(INDEX(Fixture!$B$5:$B$108,MATCH(D64,Fixture!$A$5:$A$108,0)),Fases!$A$5:$A$10,0)),"")</f>
        <v>Grupos</v>
      </c>
      <c r="F64" s="10" t="str">
        <f aca="false">IFERROR(INDEX(Fixture!$E$5:$E$108,MATCH(D64,Fixture!$A$5:$A$108,0)),"")</f>
        <v>Sudáfrica</v>
      </c>
      <c r="G64" s="10" t="str">
        <f aca="false">IFERROR(INDEX(Fixture!$F$5:$F$108,MATCH(D64,Fixture!$A$5:$A$108,0)),"")</f>
        <v>Ghana</v>
      </c>
      <c r="H64" s="22" t="n">
        <f aca="false">IFERROR(INDEX(Fixture!$G$5:$G$108,MATCH(D64,Fixture!$A$5:$A$108,0)),"")</f>
        <v>46203.75</v>
      </c>
      <c r="I64" s="23"/>
      <c r="J64" s="23"/>
      <c r="K64" s="10" t="str">
        <f aca="false">IFERROR(INDEX(Fixture!$I$5:$I$108,MATCH(D64,Fixture!$A$5:$A$108,0))&amp;"-"&amp;INDEX(Fixture!$J$5:$J$108,MATCH(D64,Fixture!$A$5:$A$108,0)),"")</f>
        <v>-</v>
      </c>
      <c r="L64" s="9" t="str">
        <f aca="false">IF(M64&lt;&gt;"FINALIZADO","",IF(OR(ISBLANK(I64),ISBLANK(J64)),0,IF(AND(I64=IFERROR(INDEX(Fixture!$I$5:$I$108,MATCH(D64,Fixture!$A$5:$A$108,0)),"-999"),J64=IFERROR(INDEX(Fixture!$J$5:$J$108,MATCH(D64,Fixture!$A$5:$A$108,0)),"-999")),IFERROR(INDEX(Fases!$C$5:$C$10,MATCH(IFERROR(INDEX(Fixture!$B$5:$B$108,MATCH(D64,Fixture!$A$5:$A$108,0)),0),Fases!$A$5:$A$10,0)),0),IF(OR(AND(I64&gt;J64,IFERROR(INDEX(Fixture!$I$5:$I$108,MATCH(D64,Fixture!$A$5:$A$108,0)),0)&gt;IFERROR(INDEX(Fixture!$J$5:$J$108,MATCH(D64,Fixture!$A$5:$A$108,0)),0)),AND(I64&lt;J64,IFERROR(INDEX(Fixture!$I$5:$I$108,MATCH(D64,Fixture!$A$5:$A$108,0)),0)&lt;IFERROR(INDEX(Fixture!$J$5:$J$108,MATCH(D64,Fixture!$A$5:$A$108,0)),0)),AND(I64=J64,IFERROR(INDEX(Fixture!$I$5:$I$108,MATCH(D64,Fixture!$A$5:$A$108,0)),0)=IFERROR(INDEX(Fixture!$J$5:$J$108,MATCH(D64,Fixture!$A$5:$A$108,0)),0))),IFERROR(INDEX(Fases!$D$5:$D$10,MATCH(IFERROR(INDEX(Fixture!$B$5:$B$108,MATCH(D64,Fixture!$A$5:$A$108,0)),0),Fases!$A$5:$A$10,0)),0),0))))</f>
        <v/>
      </c>
      <c r="M64" s="10" t="str">
        <f aca="false">IFERROR(INDEX(Fixture!$K$5:$K$108,MATCH(D64,Fixture!$A$5:$A$108,0)),"")</f>
        <v>PENDIENTE</v>
      </c>
    </row>
    <row r="65" customFormat="false" ht="15" hidden="false" customHeight="false" outlineLevel="0" collapsed="false">
      <c r="A65" s="11" t="n">
        <v>61</v>
      </c>
      <c r="B65" s="11" t="n">
        <v>1</v>
      </c>
      <c r="C65" s="12" t="str">
        <f aca="false">IFERROR(INDEX(Usuarios!$C$5:$C$200,MATCH(B65,Usuarios!$A$5:$A$200,0)),"")</f>
        <v>carlitos</v>
      </c>
      <c r="D65" s="11" t="n">
        <v>61</v>
      </c>
      <c r="E65" s="12" t="str">
        <f aca="false">IFERROR(INDEX(Fases!$B$5:$B$10,MATCH(INDEX(Fixture!$B$5:$B$108,MATCH(D65,Fixture!$A$5:$A$108,0)),Fases!$A$5:$A$10,0)),"")</f>
        <v>Grupos</v>
      </c>
      <c r="F65" s="12" t="str">
        <f aca="false">IFERROR(INDEX(Fixture!$E$5:$E$108,MATCH(D65,Fixture!$A$5:$A$108,0)),"")</f>
        <v>Japón</v>
      </c>
      <c r="G65" s="12" t="str">
        <f aca="false">IFERROR(INDEX(Fixture!$F$5:$F$108,MATCH(D65,Fixture!$A$5:$A$108,0)),"")</f>
        <v>Corea del Sur</v>
      </c>
      <c r="H65" s="20" t="n">
        <f aca="false">IFERROR(INDEX(Fixture!$G$5:$G$108,MATCH(D65,Fixture!$A$5:$A$108,0)),"")</f>
        <v>46204.625</v>
      </c>
      <c r="I65" s="21"/>
      <c r="J65" s="21"/>
      <c r="K65" s="12" t="str">
        <f aca="false">IFERROR(INDEX(Fixture!$I$5:$I$108,MATCH(D65,Fixture!$A$5:$A$108,0))&amp;"-"&amp;INDEX(Fixture!$J$5:$J$108,MATCH(D65,Fixture!$A$5:$A$108,0)),"")</f>
        <v>-</v>
      </c>
      <c r="L65" s="11" t="str">
        <f aca="false">IF(M65&lt;&gt;"FINALIZADO","",IF(OR(ISBLANK(I65),ISBLANK(J65)),0,IF(AND(I65=IFERROR(INDEX(Fixture!$I$5:$I$108,MATCH(D65,Fixture!$A$5:$A$108,0)),"-999"),J65=IFERROR(INDEX(Fixture!$J$5:$J$108,MATCH(D65,Fixture!$A$5:$A$108,0)),"-999")),IFERROR(INDEX(Fases!$C$5:$C$10,MATCH(IFERROR(INDEX(Fixture!$B$5:$B$108,MATCH(D65,Fixture!$A$5:$A$108,0)),0),Fases!$A$5:$A$10,0)),0),IF(OR(AND(I65&gt;J65,IFERROR(INDEX(Fixture!$I$5:$I$108,MATCH(D65,Fixture!$A$5:$A$108,0)),0)&gt;IFERROR(INDEX(Fixture!$J$5:$J$108,MATCH(D65,Fixture!$A$5:$A$108,0)),0)),AND(I65&lt;J65,IFERROR(INDEX(Fixture!$I$5:$I$108,MATCH(D65,Fixture!$A$5:$A$108,0)),0)&lt;IFERROR(INDEX(Fixture!$J$5:$J$108,MATCH(D65,Fixture!$A$5:$A$108,0)),0)),AND(I65=J65,IFERROR(INDEX(Fixture!$I$5:$I$108,MATCH(D65,Fixture!$A$5:$A$108,0)),0)=IFERROR(INDEX(Fixture!$J$5:$J$108,MATCH(D65,Fixture!$A$5:$A$108,0)),0))),IFERROR(INDEX(Fases!$D$5:$D$10,MATCH(IFERROR(INDEX(Fixture!$B$5:$B$108,MATCH(D65,Fixture!$A$5:$A$108,0)),0),Fases!$A$5:$A$10,0)),0),0))))</f>
        <v/>
      </c>
      <c r="M65" s="12" t="str">
        <f aca="false">IFERROR(INDEX(Fixture!$K$5:$K$108,MATCH(D65,Fixture!$A$5:$A$108,0)),"")</f>
        <v>PENDIENTE</v>
      </c>
    </row>
    <row r="66" customFormat="false" ht="15" hidden="false" customHeight="false" outlineLevel="0" collapsed="false">
      <c r="A66" s="9" t="n">
        <v>62</v>
      </c>
      <c r="B66" s="9" t="n">
        <v>1</v>
      </c>
      <c r="C66" s="10" t="str">
        <f aca="false">IFERROR(INDEX(Usuarios!$C$5:$C$200,MATCH(B66,Usuarios!$A$5:$A$200,0)),"")</f>
        <v>carlitos</v>
      </c>
      <c r="D66" s="9" t="n">
        <v>62</v>
      </c>
      <c r="E66" s="10" t="str">
        <f aca="false">IFERROR(INDEX(Fases!$B$5:$B$10,MATCH(INDEX(Fixture!$B$5:$B$108,MATCH(D66,Fixture!$A$5:$A$108,0)),Fases!$A$5:$A$10,0)),"")</f>
        <v>Grupos</v>
      </c>
      <c r="F66" s="10" t="str">
        <f aca="false">IFERROR(INDEX(Fixture!$E$5:$E$108,MATCH(D66,Fixture!$A$5:$A$108,0)),"")</f>
        <v>Japón</v>
      </c>
      <c r="G66" s="10" t="str">
        <f aca="false">IFERROR(INDEX(Fixture!$F$5:$F$108,MATCH(D66,Fixture!$A$5:$A$108,0)),"")</f>
        <v>Arabia Saudita</v>
      </c>
      <c r="H66" s="22" t="n">
        <f aca="false">IFERROR(INDEX(Fixture!$G$5:$G$108,MATCH(D66,Fixture!$A$5:$A$108,0)),"")</f>
        <v>46204.75</v>
      </c>
      <c r="I66" s="23"/>
      <c r="J66" s="23"/>
      <c r="K66" s="10" t="str">
        <f aca="false">IFERROR(INDEX(Fixture!$I$5:$I$108,MATCH(D66,Fixture!$A$5:$A$108,0))&amp;"-"&amp;INDEX(Fixture!$J$5:$J$108,MATCH(D66,Fixture!$A$5:$A$108,0)),"")</f>
        <v>-</v>
      </c>
      <c r="L66" s="9" t="str">
        <f aca="false">IF(M66&lt;&gt;"FINALIZADO","",IF(OR(ISBLANK(I66),ISBLANK(J66)),0,IF(AND(I66=IFERROR(INDEX(Fixture!$I$5:$I$108,MATCH(D66,Fixture!$A$5:$A$108,0)),"-999"),J66=IFERROR(INDEX(Fixture!$J$5:$J$108,MATCH(D66,Fixture!$A$5:$A$108,0)),"-999")),IFERROR(INDEX(Fases!$C$5:$C$10,MATCH(IFERROR(INDEX(Fixture!$B$5:$B$108,MATCH(D66,Fixture!$A$5:$A$108,0)),0),Fases!$A$5:$A$10,0)),0),IF(OR(AND(I66&gt;J66,IFERROR(INDEX(Fixture!$I$5:$I$108,MATCH(D66,Fixture!$A$5:$A$108,0)),0)&gt;IFERROR(INDEX(Fixture!$J$5:$J$108,MATCH(D66,Fixture!$A$5:$A$108,0)),0)),AND(I66&lt;J66,IFERROR(INDEX(Fixture!$I$5:$I$108,MATCH(D66,Fixture!$A$5:$A$108,0)),0)&lt;IFERROR(INDEX(Fixture!$J$5:$J$108,MATCH(D66,Fixture!$A$5:$A$108,0)),0)),AND(I66=J66,IFERROR(INDEX(Fixture!$I$5:$I$108,MATCH(D66,Fixture!$A$5:$A$108,0)),0)=IFERROR(INDEX(Fixture!$J$5:$J$108,MATCH(D66,Fixture!$A$5:$A$108,0)),0))),IFERROR(INDEX(Fases!$D$5:$D$10,MATCH(IFERROR(INDEX(Fixture!$B$5:$B$108,MATCH(D66,Fixture!$A$5:$A$108,0)),0),Fases!$A$5:$A$10,0)),0),0))))</f>
        <v/>
      </c>
      <c r="M66" s="10" t="str">
        <f aca="false">IFERROR(INDEX(Fixture!$K$5:$K$108,MATCH(D66,Fixture!$A$5:$A$108,0)),"")</f>
        <v>PENDIENTE</v>
      </c>
    </row>
    <row r="67" customFormat="false" ht="15" hidden="false" customHeight="false" outlineLevel="0" collapsed="false">
      <c r="A67" s="11" t="n">
        <v>63</v>
      </c>
      <c r="B67" s="11" t="n">
        <v>1</v>
      </c>
      <c r="C67" s="12" t="str">
        <f aca="false">IFERROR(INDEX(Usuarios!$C$5:$C$200,MATCH(B67,Usuarios!$A$5:$A$200,0)),"")</f>
        <v>carlitos</v>
      </c>
      <c r="D67" s="11" t="n">
        <v>63</v>
      </c>
      <c r="E67" s="12" t="str">
        <f aca="false">IFERROR(INDEX(Fases!$B$5:$B$10,MATCH(INDEX(Fixture!$B$5:$B$108,MATCH(D67,Fixture!$A$5:$A$108,0)),Fases!$A$5:$A$10,0)),"")</f>
        <v>Grupos</v>
      </c>
      <c r="F67" s="12" t="str">
        <f aca="false">IFERROR(INDEX(Fixture!$E$5:$E$108,MATCH(D67,Fixture!$A$5:$A$108,0)),"")</f>
        <v>Japón</v>
      </c>
      <c r="G67" s="12" t="str">
        <f aca="false">IFERROR(INDEX(Fixture!$F$5:$F$108,MATCH(D67,Fixture!$A$5:$A$108,0)),"")</f>
        <v>Australia</v>
      </c>
      <c r="H67" s="20" t="n">
        <f aca="false">IFERROR(INDEX(Fixture!$G$5:$G$108,MATCH(D67,Fixture!$A$5:$A$108,0)),"")</f>
        <v>46204.875</v>
      </c>
      <c r="I67" s="21"/>
      <c r="J67" s="21"/>
      <c r="K67" s="12" t="str">
        <f aca="false">IFERROR(INDEX(Fixture!$I$5:$I$108,MATCH(D67,Fixture!$A$5:$A$108,0))&amp;"-"&amp;INDEX(Fixture!$J$5:$J$108,MATCH(D67,Fixture!$A$5:$A$108,0)),"")</f>
        <v>-</v>
      </c>
      <c r="L67" s="11" t="str">
        <f aca="false">IF(M67&lt;&gt;"FINALIZADO","",IF(OR(ISBLANK(I67),ISBLANK(J67)),0,IF(AND(I67=IFERROR(INDEX(Fixture!$I$5:$I$108,MATCH(D67,Fixture!$A$5:$A$108,0)),"-999"),J67=IFERROR(INDEX(Fixture!$J$5:$J$108,MATCH(D67,Fixture!$A$5:$A$108,0)),"-999")),IFERROR(INDEX(Fases!$C$5:$C$10,MATCH(IFERROR(INDEX(Fixture!$B$5:$B$108,MATCH(D67,Fixture!$A$5:$A$108,0)),0),Fases!$A$5:$A$10,0)),0),IF(OR(AND(I67&gt;J67,IFERROR(INDEX(Fixture!$I$5:$I$108,MATCH(D67,Fixture!$A$5:$A$108,0)),0)&gt;IFERROR(INDEX(Fixture!$J$5:$J$108,MATCH(D67,Fixture!$A$5:$A$108,0)),0)),AND(I67&lt;J67,IFERROR(INDEX(Fixture!$I$5:$I$108,MATCH(D67,Fixture!$A$5:$A$108,0)),0)&lt;IFERROR(INDEX(Fixture!$J$5:$J$108,MATCH(D67,Fixture!$A$5:$A$108,0)),0)),AND(I67=J67,IFERROR(INDEX(Fixture!$I$5:$I$108,MATCH(D67,Fixture!$A$5:$A$108,0)),0)=IFERROR(INDEX(Fixture!$J$5:$J$108,MATCH(D67,Fixture!$A$5:$A$108,0)),0))),IFERROR(INDEX(Fases!$D$5:$D$10,MATCH(IFERROR(INDEX(Fixture!$B$5:$B$108,MATCH(D67,Fixture!$A$5:$A$108,0)),0),Fases!$A$5:$A$10,0)),0),0))))</f>
        <v/>
      </c>
      <c r="M67" s="12" t="str">
        <f aca="false">IFERROR(INDEX(Fixture!$K$5:$K$108,MATCH(D67,Fixture!$A$5:$A$108,0)),"")</f>
        <v>PENDIENTE</v>
      </c>
    </row>
    <row r="68" customFormat="false" ht="15" hidden="false" customHeight="false" outlineLevel="0" collapsed="false">
      <c r="A68" s="9" t="n">
        <v>64</v>
      </c>
      <c r="B68" s="9" t="n">
        <v>1</v>
      </c>
      <c r="C68" s="10" t="str">
        <f aca="false">IFERROR(INDEX(Usuarios!$C$5:$C$200,MATCH(B68,Usuarios!$A$5:$A$200,0)),"")</f>
        <v>carlitos</v>
      </c>
      <c r="D68" s="9" t="n">
        <v>64</v>
      </c>
      <c r="E68" s="10" t="str">
        <f aca="false">IFERROR(INDEX(Fases!$B$5:$B$10,MATCH(INDEX(Fixture!$B$5:$B$108,MATCH(D68,Fixture!$A$5:$A$108,0)),Fases!$A$5:$A$10,0)),"")</f>
        <v>Grupos</v>
      </c>
      <c r="F68" s="10" t="str">
        <f aca="false">IFERROR(INDEX(Fixture!$E$5:$E$108,MATCH(D68,Fixture!$A$5:$A$108,0)),"")</f>
        <v>Corea del Sur</v>
      </c>
      <c r="G68" s="10" t="str">
        <f aca="false">IFERROR(INDEX(Fixture!$F$5:$F$108,MATCH(D68,Fixture!$A$5:$A$108,0)),"")</f>
        <v>Arabia Saudita</v>
      </c>
      <c r="H68" s="22" t="n">
        <f aca="false">IFERROR(INDEX(Fixture!$G$5:$G$108,MATCH(D68,Fixture!$A$5:$A$108,0)),"")</f>
        <v>46205</v>
      </c>
      <c r="I68" s="23"/>
      <c r="J68" s="23"/>
      <c r="K68" s="10" t="str">
        <f aca="false">IFERROR(INDEX(Fixture!$I$5:$I$108,MATCH(D68,Fixture!$A$5:$A$108,0))&amp;"-"&amp;INDEX(Fixture!$J$5:$J$108,MATCH(D68,Fixture!$A$5:$A$108,0)),"")</f>
        <v>-</v>
      </c>
      <c r="L68" s="9" t="str">
        <f aca="false">IF(M68&lt;&gt;"FINALIZADO","",IF(OR(ISBLANK(I68),ISBLANK(J68)),0,IF(AND(I68=IFERROR(INDEX(Fixture!$I$5:$I$108,MATCH(D68,Fixture!$A$5:$A$108,0)),"-999"),J68=IFERROR(INDEX(Fixture!$J$5:$J$108,MATCH(D68,Fixture!$A$5:$A$108,0)),"-999")),IFERROR(INDEX(Fases!$C$5:$C$10,MATCH(IFERROR(INDEX(Fixture!$B$5:$B$108,MATCH(D68,Fixture!$A$5:$A$108,0)),0),Fases!$A$5:$A$10,0)),0),IF(OR(AND(I68&gt;J68,IFERROR(INDEX(Fixture!$I$5:$I$108,MATCH(D68,Fixture!$A$5:$A$108,0)),0)&gt;IFERROR(INDEX(Fixture!$J$5:$J$108,MATCH(D68,Fixture!$A$5:$A$108,0)),0)),AND(I68&lt;J68,IFERROR(INDEX(Fixture!$I$5:$I$108,MATCH(D68,Fixture!$A$5:$A$108,0)),0)&lt;IFERROR(INDEX(Fixture!$J$5:$J$108,MATCH(D68,Fixture!$A$5:$A$108,0)),0)),AND(I68=J68,IFERROR(INDEX(Fixture!$I$5:$I$108,MATCH(D68,Fixture!$A$5:$A$108,0)),0)=IFERROR(INDEX(Fixture!$J$5:$J$108,MATCH(D68,Fixture!$A$5:$A$108,0)),0))),IFERROR(INDEX(Fases!$D$5:$D$10,MATCH(IFERROR(INDEX(Fixture!$B$5:$B$108,MATCH(D68,Fixture!$A$5:$A$108,0)),0),Fases!$A$5:$A$10,0)),0),0))))</f>
        <v/>
      </c>
      <c r="M68" s="10" t="str">
        <f aca="false">IFERROR(INDEX(Fixture!$K$5:$K$108,MATCH(D68,Fixture!$A$5:$A$108,0)),"")</f>
        <v>PENDIENTE</v>
      </c>
    </row>
    <row r="69" customFormat="false" ht="15" hidden="false" customHeight="false" outlineLevel="0" collapsed="false">
      <c r="A69" s="11" t="n">
        <v>65</v>
      </c>
      <c r="B69" s="11" t="n">
        <v>1</v>
      </c>
      <c r="C69" s="12" t="str">
        <f aca="false">IFERROR(INDEX(Usuarios!$C$5:$C$200,MATCH(B69,Usuarios!$A$5:$A$200,0)),"")</f>
        <v>carlitos</v>
      </c>
      <c r="D69" s="11" t="n">
        <v>65</v>
      </c>
      <c r="E69" s="12" t="str">
        <f aca="false">IFERROR(INDEX(Fases!$B$5:$B$10,MATCH(INDEX(Fixture!$B$5:$B$108,MATCH(D69,Fixture!$A$5:$A$108,0)),Fases!$A$5:$A$10,0)),"")</f>
        <v>Grupos</v>
      </c>
      <c r="F69" s="12" t="str">
        <f aca="false">IFERROR(INDEX(Fixture!$E$5:$E$108,MATCH(D69,Fixture!$A$5:$A$108,0)),"")</f>
        <v>Corea del Sur</v>
      </c>
      <c r="G69" s="12" t="str">
        <f aca="false">IFERROR(INDEX(Fixture!$F$5:$F$108,MATCH(D69,Fixture!$A$5:$A$108,0)),"")</f>
        <v>Australia</v>
      </c>
      <c r="H69" s="20" t="n">
        <f aca="false">IFERROR(INDEX(Fixture!$G$5:$G$108,MATCH(D69,Fixture!$A$5:$A$108,0)),"")</f>
        <v>46205.625</v>
      </c>
      <c r="I69" s="21"/>
      <c r="J69" s="21"/>
      <c r="K69" s="12" t="str">
        <f aca="false">IFERROR(INDEX(Fixture!$I$5:$I$108,MATCH(D69,Fixture!$A$5:$A$108,0))&amp;"-"&amp;INDEX(Fixture!$J$5:$J$108,MATCH(D69,Fixture!$A$5:$A$108,0)),"")</f>
        <v>-</v>
      </c>
      <c r="L69" s="11" t="str">
        <f aca="false">IF(M69&lt;&gt;"FINALIZADO","",IF(OR(ISBLANK(I69),ISBLANK(J69)),0,IF(AND(I69=IFERROR(INDEX(Fixture!$I$5:$I$108,MATCH(D69,Fixture!$A$5:$A$108,0)),"-999"),J69=IFERROR(INDEX(Fixture!$J$5:$J$108,MATCH(D69,Fixture!$A$5:$A$108,0)),"-999")),IFERROR(INDEX(Fases!$C$5:$C$10,MATCH(IFERROR(INDEX(Fixture!$B$5:$B$108,MATCH(D69,Fixture!$A$5:$A$108,0)),0),Fases!$A$5:$A$10,0)),0),IF(OR(AND(I69&gt;J69,IFERROR(INDEX(Fixture!$I$5:$I$108,MATCH(D69,Fixture!$A$5:$A$108,0)),0)&gt;IFERROR(INDEX(Fixture!$J$5:$J$108,MATCH(D69,Fixture!$A$5:$A$108,0)),0)),AND(I69&lt;J69,IFERROR(INDEX(Fixture!$I$5:$I$108,MATCH(D69,Fixture!$A$5:$A$108,0)),0)&lt;IFERROR(INDEX(Fixture!$J$5:$J$108,MATCH(D69,Fixture!$A$5:$A$108,0)),0)),AND(I69=J69,IFERROR(INDEX(Fixture!$I$5:$I$108,MATCH(D69,Fixture!$A$5:$A$108,0)),0)=IFERROR(INDEX(Fixture!$J$5:$J$108,MATCH(D69,Fixture!$A$5:$A$108,0)),0))),IFERROR(INDEX(Fases!$D$5:$D$10,MATCH(IFERROR(INDEX(Fixture!$B$5:$B$108,MATCH(D69,Fixture!$A$5:$A$108,0)),0),Fases!$A$5:$A$10,0)),0),0))))</f>
        <v/>
      </c>
      <c r="M69" s="12" t="str">
        <f aca="false">IFERROR(INDEX(Fixture!$K$5:$K$108,MATCH(D69,Fixture!$A$5:$A$108,0)),"")</f>
        <v>PENDIENTE</v>
      </c>
    </row>
    <row r="70" customFormat="false" ht="15" hidden="false" customHeight="false" outlineLevel="0" collapsed="false">
      <c r="A70" s="9" t="n">
        <v>66</v>
      </c>
      <c r="B70" s="9" t="n">
        <v>1</v>
      </c>
      <c r="C70" s="10" t="str">
        <f aca="false">IFERROR(INDEX(Usuarios!$C$5:$C$200,MATCH(B70,Usuarios!$A$5:$A$200,0)),"")</f>
        <v>carlitos</v>
      </c>
      <c r="D70" s="9" t="n">
        <v>66</v>
      </c>
      <c r="E70" s="10" t="str">
        <f aca="false">IFERROR(INDEX(Fases!$B$5:$B$10,MATCH(INDEX(Fixture!$B$5:$B$108,MATCH(D70,Fixture!$A$5:$A$108,0)),Fases!$A$5:$A$10,0)),"")</f>
        <v>Grupos</v>
      </c>
      <c r="F70" s="10" t="str">
        <f aca="false">IFERROR(INDEX(Fixture!$E$5:$E$108,MATCH(D70,Fixture!$A$5:$A$108,0)),"")</f>
        <v>Arabia Saudita</v>
      </c>
      <c r="G70" s="10" t="str">
        <f aca="false">IFERROR(INDEX(Fixture!$F$5:$F$108,MATCH(D70,Fixture!$A$5:$A$108,0)),"")</f>
        <v>Australia</v>
      </c>
      <c r="H70" s="22" t="n">
        <f aca="false">IFERROR(INDEX(Fixture!$G$5:$G$108,MATCH(D70,Fixture!$A$5:$A$108,0)),"")</f>
        <v>46205.75</v>
      </c>
      <c r="I70" s="23"/>
      <c r="J70" s="23"/>
      <c r="K70" s="10" t="str">
        <f aca="false">IFERROR(INDEX(Fixture!$I$5:$I$108,MATCH(D70,Fixture!$A$5:$A$108,0))&amp;"-"&amp;INDEX(Fixture!$J$5:$J$108,MATCH(D70,Fixture!$A$5:$A$108,0)),"")</f>
        <v>-</v>
      </c>
      <c r="L70" s="9" t="str">
        <f aca="false">IF(M70&lt;&gt;"FINALIZADO","",IF(OR(ISBLANK(I70),ISBLANK(J70)),0,IF(AND(I70=IFERROR(INDEX(Fixture!$I$5:$I$108,MATCH(D70,Fixture!$A$5:$A$108,0)),"-999"),J70=IFERROR(INDEX(Fixture!$J$5:$J$108,MATCH(D70,Fixture!$A$5:$A$108,0)),"-999")),IFERROR(INDEX(Fases!$C$5:$C$10,MATCH(IFERROR(INDEX(Fixture!$B$5:$B$108,MATCH(D70,Fixture!$A$5:$A$108,0)),0),Fases!$A$5:$A$10,0)),0),IF(OR(AND(I70&gt;J70,IFERROR(INDEX(Fixture!$I$5:$I$108,MATCH(D70,Fixture!$A$5:$A$108,0)),0)&gt;IFERROR(INDEX(Fixture!$J$5:$J$108,MATCH(D70,Fixture!$A$5:$A$108,0)),0)),AND(I70&lt;J70,IFERROR(INDEX(Fixture!$I$5:$I$108,MATCH(D70,Fixture!$A$5:$A$108,0)),0)&lt;IFERROR(INDEX(Fixture!$J$5:$J$108,MATCH(D70,Fixture!$A$5:$A$108,0)),0)),AND(I70=J70,IFERROR(INDEX(Fixture!$I$5:$I$108,MATCH(D70,Fixture!$A$5:$A$108,0)),0)=IFERROR(INDEX(Fixture!$J$5:$J$108,MATCH(D70,Fixture!$A$5:$A$108,0)),0))),IFERROR(INDEX(Fases!$D$5:$D$10,MATCH(IFERROR(INDEX(Fixture!$B$5:$B$108,MATCH(D70,Fixture!$A$5:$A$108,0)),0),Fases!$A$5:$A$10,0)),0),0))))</f>
        <v/>
      </c>
      <c r="M70" s="10" t="str">
        <f aca="false">IFERROR(INDEX(Fixture!$K$5:$K$108,MATCH(D70,Fixture!$A$5:$A$108,0)),"")</f>
        <v>PENDIENTE</v>
      </c>
    </row>
    <row r="71" customFormat="false" ht="15" hidden="false" customHeight="false" outlineLevel="0" collapsed="false">
      <c r="A71" s="11" t="n">
        <v>67</v>
      </c>
      <c r="B71" s="11" t="n">
        <v>1</v>
      </c>
      <c r="C71" s="12" t="str">
        <f aca="false">IFERROR(INDEX(Usuarios!$C$5:$C$200,MATCH(B71,Usuarios!$A$5:$A$200,0)),"")</f>
        <v>carlitos</v>
      </c>
      <c r="D71" s="11" t="n">
        <v>67</v>
      </c>
      <c r="E71" s="12" t="str">
        <f aca="false">IFERROR(INDEX(Fases!$B$5:$B$10,MATCH(INDEX(Fixture!$B$5:$B$108,MATCH(D71,Fixture!$A$5:$A$108,0)),Fases!$A$5:$A$10,0)),"")</f>
        <v>Grupos</v>
      </c>
      <c r="F71" s="12" t="str">
        <f aca="false">IFERROR(INDEX(Fixture!$E$5:$E$108,MATCH(D71,Fixture!$A$5:$A$108,0)),"")</f>
        <v>Irán</v>
      </c>
      <c r="G71" s="12" t="str">
        <f aca="false">IFERROR(INDEX(Fixture!$F$5:$F$108,MATCH(D71,Fixture!$A$5:$A$108,0)),"")</f>
        <v>Qatar</v>
      </c>
      <c r="H71" s="20" t="n">
        <f aca="false">IFERROR(INDEX(Fixture!$G$5:$G$108,MATCH(D71,Fixture!$A$5:$A$108,0)),"")</f>
        <v>46206.625</v>
      </c>
      <c r="I71" s="21"/>
      <c r="J71" s="21"/>
      <c r="K71" s="12" t="str">
        <f aca="false">IFERROR(INDEX(Fixture!$I$5:$I$108,MATCH(D71,Fixture!$A$5:$A$108,0))&amp;"-"&amp;INDEX(Fixture!$J$5:$J$108,MATCH(D71,Fixture!$A$5:$A$108,0)),"")</f>
        <v>-</v>
      </c>
      <c r="L71" s="11" t="str">
        <f aca="false">IF(M71&lt;&gt;"FINALIZADO","",IF(OR(ISBLANK(I71),ISBLANK(J71)),0,IF(AND(I71=IFERROR(INDEX(Fixture!$I$5:$I$108,MATCH(D71,Fixture!$A$5:$A$108,0)),"-999"),J71=IFERROR(INDEX(Fixture!$J$5:$J$108,MATCH(D71,Fixture!$A$5:$A$108,0)),"-999")),IFERROR(INDEX(Fases!$C$5:$C$10,MATCH(IFERROR(INDEX(Fixture!$B$5:$B$108,MATCH(D71,Fixture!$A$5:$A$108,0)),0),Fases!$A$5:$A$10,0)),0),IF(OR(AND(I71&gt;J71,IFERROR(INDEX(Fixture!$I$5:$I$108,MATCH(D71,Fixture!$A$5:$A$108,0)),0)&gt;IFERROR(INDEX(Fixture!$J$5:$J$108,MATCH(D71,Fixture!$A$5:$A$108,0)),0)),AND(I71&lt;J71,IFERROR(INDEX(Fixture!$I$5:$I$108,MATCH(D71,Fixture!$A$5:$A$108,0)),0)&lt;IFERROR(INDEX(Fixture!$J$5:$J$108,MATCH(D71,Fixture!$A$5:$A$108,0)),0)),AND(I71=J71,IFERROR(INDEX(Fixture!$I$5:$I$108,MATCH(D71,Fixture!$A$5:$A$108,0)),0)=IFERROR(INDEX(Fixture!$J$5:$J$108,MATCH(D71,Fixture!$A$5:$A$108,0)),0))),IFERROR(INDEX(Fases!$D$5:$D$10,MATCH(IFERROR(INDEX(Fixture!$B$5:$B$108,MATCH(D71,Fixture!$A$5:$A$108,0)),0),Fases!$A$5:$A$10,0)),0),0))))</f>
        <v/>
      </c>
      <c r="M71" s="12" t="str">
        <f aca="false">IFERROR(INDEX(Fixture!$K$5:$K$108,MATCH(D71,Fixture!$A$5:$A$108,0)),"")</f>
        <v>PENDIENTE</v>
      </c>
    </row>
    <row r="72" customFormat="false" ht="15" hidden="false" customHeight="false" outlineLevel="0" collapsed="false">
      <c r="A72" s="9" t="n">
        <v>68</v>
      </c>
      <c r="B72" s="9" t="n">
        <v>1</v>
      </c>
      <c r="C72" s="10" t="str">
        <f aca="false">IFERROR(INDEX(Usuarios!$C$5:$C$200,MATCH(B72,Usuarios!$A$5:$A$200,0)),"")</f>
        <v>carlitos</v>
      </c>
      <c r="D72" s="9" t="n">
        <v>68</v>
      </c>
      <c r="E72" s="10" t="str">
        <f aca="false">IFERROR(INDEX(Fases!$B$5:$B$10,MATCH(INDEX(Fixture!$B$5:$B$108,MATCH(D72,Fixture!$A$5:$A$108,0)),Fases!$A$5:$A$10,0)),"")</f>
        <v>Grupos</v>
      </c>
      <c r="F72" s="10" t="str">
        <f aca="false">IFERROR(INDEX(Fixture!$E$5:$E$108,MATCH(D72,Fixture!$A$5:$A$108,0)),"")</f>
        <v>Irán</v>
      </c>
      <c r="G72" s="10" t="str">
        <f aca="false">IFERROR(INDEX(Fixture!$F$5:$F$108,MATCH(D72,Fixture!$A$5:$A$108,0)),"")</f>
        <v>Uzbekistán</v>
      </c>
      <c r="H72" s="22" t="n">
        <f aca="false">IFERROR(INDEX(Fixture!$G$5:$G$108,MATCH(D72,Fixture!$A$5:$A$108,0)),"")</f>
        <v>46206.75</v>
      </c>
      <c r="I72" s="23"/>
      <c r="J72" s="23"/>
      <c r="K72" s="10" t="str">
        <f aca="false">IFERROR(INDEX(Fixture!$I$5:$I$108,MATCH(D72,Fixture!$A$5:$A$108,0))&amp;"-"&amp;INDEX(Fixture!$J$5:$J$108,MATCH(D72,Fixture!$A$5:$A$108,0)),"")</f>
        <v>-</v>
      </c>
      <c r="L72" s="9" t="str">
        <f aca="false">IF(M72&lt;&gt;"FINALIZADO","",IF(OR(ISBLANK(I72),ISBLANK(J72)),0,IF(AND(I72=IFERROR(INDEX(Fixture!$I$5:$I$108,MATCH(D72,Fixture!$A$5:$A$108,0)),"-999"),J72=IFERROR(INDEX(Fixture!$J$5:$J$108,MATCH(D72,Fixture!$A$5:$A$108,0)),"-999")),IFERROR(INDEX(Fases!$C$5:$C$10,MATCH(IFERROR(INDEX(Fixture!$B$5:$B$108,MATCH(D72,Fixture!$A$5:$A$108,0)),0),Fases!$A$5:$A$10,0)),0),IF(OR(AND(I72&gt;J72,IFERROR(INDEX(Fixture!$I$5:$I$108,MATCH(D72,Fixture!$A$5:$A$108,0)),0)&gt;IFERROR(INDEX(Fixture!$J$5:$J$108,MATCH(D72,Fixture!$A$5:$A$108,0)),0)),AND(I72&lt;J72,IFERROR(INDEX(Fixture!$I$5:$I$108,MATCH(D72,Fixture!$A$5:$A$108,0)),0)&lt;IFERROR(INDEX(Fixture!$J$5:$J$108,MATCH(D72,Fixture!$A$5:$A$108,0)),0)),AND(I72=J72,IFERROR(INDEX(Fixture!$I$5:$I$108,MATCH(D72,Fixture!$A$5:$A$108,0)),0)=IFERROR(INDEX(Fixture!$J$5:$J$108,MATCH(D72,Fixture!$A$5:$A$108,0)),0))),IFERROR(INDEX(Fases!$D$5:$D$10,MATCH(IFERROR(INDEX(Fixture!$B$5:$B$108,MATCH(D72,Fixture!$A$5:$A$108,0)),0),Fases!$A$5:$A$10,0)),0),0))))</f>
        <v/>
      </c>
      <c r="M72" s="10" t="str">
        <f aca="false">IFERROR(INDEX(Fixture!$K$5:$K$108,MATCH(D72,Fixture!$A$5:$A$108,0)),"")</f>
        <v>PENDIENTE</v>
      </c>
    </row>
    <row r="73" customFormat="false" ht="15" hidden="false" customHeight="false" outlineLevel="0" collapsed="false">
      <c r="A73" s="11" t="n">
        <v>69</v>
      </c>
      <c r="B73" s="11" t="n">
        <v>1</v>
      </c>
      <c r="C73" s="12" t="str">
        <f aca="false">IFERROR(INDEX(Usuarios!$C$5:$C$200,MATCH(B73,Usuarios!$A$5:$A$200,0)),"")</f>
        <v>carlitos</v>
      </c>
      <c r="D73" s="11" t="n">
        <v>69</v>
      </c>
      <c r="E73" s="12" t="str">
        <f aca="false">IFERROR(INDEX(Fases!$B$5:$B$10,MATCH(INDEX(Fixture!$B$5:$B$108,MATCH(D73,Fixture!$A$5:$A$108,0)),Fases!$A$5:$A$10,0)),"")</f>
        <v>Grupos</v>
      </c>
      <c r="F73" s="12" t="str">
        <f aca="false">IFERROR(INDEX(Fixture!$E$5:$E$108,MATCH(D73,Fixture!$A$5:$A$108,0)),"")</f>
        <v>Irán</v>
      </c>
      <c r="G73" s="12" t="str">
        <f aca="false">IFERROR(INDEX(Fixture!$F$5:$F$108,MATCH(D73,Fixture!$A$5:$A$108,0)),"")</f>
        <v>Nueva Zelanda</v>
      </c>
      <c r="H73" s="20" t="n">
        <f aca="false">IFERROR(INDEX(Fixture!$G$5:$G$108,MATCH(D73,Fixture!$A$5:$A$108,0)),"")</f>
        <v>46206.875</v>
      </c>
      <c r="I73" s="21"/>
      <c r="J73" s="21"/>
      <c r="K73" s="12" t="str">
        <f aca="false">IFERROR(INDEX(Fixture!$I$5:$I$108,MATCH(D73,Fixture!$A$5:$A$108,0))&amp;"-"&amp;INDEX(Fixture!$J$5:$J$108,MATCH(D73,Fixture!$A$5:$A$108,0)),"")</f>
        <v>-</v>
      </c>
      <c r="L73" s="11" t="str">
        <f aca="false">IF(M73&lt;&gt;"FINALIZADO","",IF(OR(ISBLANK(I73),ISBLANK(J73)),0,IF(AND(I73=IFERROR(INDEX(Fixture!$I$5:$I$108,MATCH(D73,Fixture!$A$5:$A$108,0)),"-999"),J73=IFERROR(INDEX(Fixture!$J$5:$J$108,MATCH(D73,Fixture!$A$5:$A$108,0)),"-999")),IFERROR(INDEX(Fases!$C$5:$C$10,MATCH(IFERROR(INDEX(Fixture!$B$5:$B$108,MATCH(D73,Fixture!$A$5:$A$108,0)),0),Fases!$A$5:$A$10,0)),0),IF(OR(AND(I73&gt;J73,IFERROR(INDEX(Fixture!$I$5:$I$108,MATCH(D73,Fixture!$A$5:$A$108,0)),0)&gt;IFERROR(INDEX(Fixture!$J$5:$J$108,MATCH(D73,Fixture!$A$5:$A$108,0)),0)),AND(I73&lt;J73,IFERROR(INDEX(Fixture!$I$5:$I$108,MATCH(D73,Fixture!$A$5:$A$108,0)),0)&lt;IFERROR(INDEX(Fixture!$J$5:$J$108,MATCH(D73,Fixture!$A$5:$A$108,0)),0)),AND(I73=J73,IFERROR(INDEX(Fixture!$I$5:$I$108,MATCH(D73,Fixture!$A$5:$A$108,0)),0)=IFERROR(INDEX(Fixture!$J$5:$J$108,MATCH(D73,Fixture!$A$5:$A$108,0)),0))),IFERROR(INDEX(Fases!$D$5:$D$10,MATCH(IFERROR(INDEX(Fixture!$B$5:$B$108,MATCH(D73,Fixture!$A$5:$A$108,0)),0),Fases!$A$5:$A$10,0)),0),0))))</f>
        <v/>
      </c>
      <c r="M73" s="12" t="str">
        <f aca="false">IFERROR(INDEX(Fixture!$K$5:$K$108,MATCH(D73,Fixture!$A$5:$A$108,0)),"")</f>
        <v>PENDIENTE</v>
      </c>
    </row>
    <row r="74" customFormat="false" ht="15" hidden="false" customHeight="false" outlineLevel="0" collapsed="false">
      <c r="A74" s="9" t="n">
        <v>70</v>
      </c>
      <c r="B74" s="9" t="n">
        <v>1</v>
      </c>
      <c r="C74" s="10" t="str">
        <f aca="false">IFERROR(INDEX(Usuarios!$C$5:$C$200,MATCH(B74,Usuarios!$A$5:$A$200,0)),"")</f>
        <v>carlitos</v>
      </c>
      <c r="D74" s="9" t="n">
        <v>70</v>
      </c>
      <c r="E74" s="10" t="str">
        <f aca="false">IFERROR(INDEX(Fases!$B$5:$B$10,MATCH(INDEX(Fixture!$B$5:$B$108,MATCH(D74,Fixture!$A$5:$A$108,0)),Fases!$A$5:$A$10,0)),"")</f>
        <v>Grupos</v>
      </c>
      <c r="F74" s="10" t="str">
        <f aca="false">IFERROR(INDEX(Fixture!$E$5:$E$108,MATCH(D74,Fixture!$A$5:$A$108,0)),"")</f>
        <v>Qatar</v>
      </c>
      <c r="G74" s="10" t="str">
        <f aca="false">IFERROR(INDEX(Fixture!$F$5:$F$108,MATCH(D74,Fixture!$A$5:$A$108,0)),"")</f>
        <v>Uzbekistán</v>
      </c>
      <c r="H74" s="22" t="n">
        <f aca="false">IFERROR(INDEX(Fixture!$G$5:$G$108,MATCH(D74,Fixture!$A$5:$A$108,0)),"")</f>
        <v>46207</v>
      </c>
      <c r="I74" s="23"/>
      <c r="J74" s="23"/>
      <c r="K74" s="10" t="str">
        <f aca="false">IFERROR(INDEX(Fixture!$I$5:$I$108,MATCH(D74,Fixture!$A$5:$A$108,0))&amp;"-"&amp;INDEX(Fixture!$J$5:$J$108,MATCH(D74,Fixture!$A$5:$A$108,0)),"")</f>
        <v>-</v>
      </c>
      <c r="L74" s="9" t="str">
        <f aca="false">IF(M74&lt;&gt;"FINALIZADO","",IF(OR(ISBLANK(I74),ISBLANK(J74)),0,IF(AND(I74=IFERROR(INDEX(Fixture!$I$5:$I$108,MATCH(D74,Fixture!$A$5:$A$108,0)),"-999"),J74=IFERROR(INDEX(Fixture!$J$5:$J$108,MATCH(D74,Fixture!$A$5:$A$108,0)),"-999")),IFERROR(INDEX(Fases!$C$5:$C$10,MATCH(IFERROR(INDEX(Fixture!$B$5:$B$108,MATCH(D74,Fixture!$A$5:$A$108,0)),0),Fases!$A$5:$A$10,0)),0),IF(OR(AND(I74&gt;J74,IFERROR(INDEX(Fixture!$I$5:$I$108,MATCH(D74,Fixture!$A$5:$A$108,0)),0)&gt;IFERROR(INDEX(Fixture!$J$5:$J$108,MATCH(D74,Fixture!$A$5:$A$108,0)),0)),AND(I74&lt;J74,IFERROR(INDEX(Fixture!$I$5:$I$108,MATCH(D74,Fixture!$A$5:$A$108,0)),0)&lt;IFERROR(INDEX(Fixture!$J$5:$J$108,MATCH(D74,Fixture!$A$5:$A$108,0)),0)),AND(I74=J74,IFERROR(INDEX(Fixture!$I$5:$I$108,MATCH(D74,Fixture!$A$5:$A$108,0)),0)=IFERROR(INDEX(Fixture!$J$5:$J$108,MATCH(D74,Fixture!$A$5:$A$108,0)),0))),IFERROR(INDEX(Fases!$D$5:$D$10,MATCH(IFERROR(INDEX(Fixture!$B$5:$B$108,MATCH(D74,Fixture!$A$5:$A$108,0)),0),Fases!$A$5:$A$10,0)),0),0))))</f>
        <v/>
      </c>
      <c r="M74" s="10" t="str">
        <f aca="false">IFERROR(INDEX(Fixture!$K$5:$K$108,MATCH(D74,Fixture!$A$5:$A$108,0)),"")</f>
        <v>PENDIENTE</v>
      </c>
    </row>
    <row r="75" customFormat="false" ht="15" hidden="false" customHeight="false" outlineLevel="0" collapsed="false">
      <c r="A75" s="11" t="n">
        <v>71</v>
      </c>
      <c r="B75" s="11" t="n">
        <v>1</v>
      </c>
      <c r="C75" s="12" t="str">
        <f aca="false">IFERROR(INDEX(Usuarios!$C$5:$C$200,MATCH(B75,Usuarios!$A$5:$A$200,0)),"")</f>
        <v>carlitos</v>
      </c>
      <c r="D75" s="11" t="n">
        <v>71</v>
      </c>
      <c r="E75" s="12" t="str">
        <f aca="false">IFERROR(INDEX(Fases!$B$5:$B$10,MATCH(INDEX(Fixture!$B$5:$B$108,MATCH(D75,Fixture!$A$5:$A$108,0)),Fases!$A$5:$A$10,0)),"")</f>
        <v>Grupos</v>
      </c>
      <c r="F75" s="12" t="str">
        <f aca="false">IFERROR(INDEX(Fixture!$E$5:$E$108,MATCH(D75,Fixture!$A$5:$A$108,0)),"")</f>
        <v>Qatar</v>
      </c>
      <c r="G75" s="12" t="str">
        <f aca="false">IFERROR(INDEX(Fixture!$F$5:$F$108,MATCH(D75,Fixture!$A$5:$A$108,0)),"")</f>
        <v>Nueva Zelanda</v>
      </c>
      <c r="H75" s="20" t="n">
        <f aca="false">IFERROR(INDEX(Fixture!$G$5:$G$108,MATCH(D75,Fixture!$A$5:$A$108,0)),"")</f>
        <v>46207.625</v>
      </c>
      <c r="I75" s="21"/>
      <c r="J75" s="21"/>
      <c r="K75" s="12" t="str">
        <f aca="false">IFERROR(INDEX(Fixture!$I$5:$I$108,MATCH(D75,Fixture!$A$5:$A$108,0))&amp;"-"&amp;INDEX(Fixture!$J$5:$J$108,MATCH(D75,Fixture!$A$5:$A$108,0)),"")</f>
        <v>-</v>
      </c>
      <c r="L75" s="11" t="str">
        <f aca="false">IF(M75&lt;&gt;"FINALIZADO","",IF(OR(ISBLANK(I75),ISBLANK(J75)),0,IF(AND(I75=IFERROR(INDEX(Fixture!$I$5:$I$108,MATCH(D75,Fixture!$A$5:$A$108,0)),"-999"),J75=IFERROR(INDEX(Fixture!$J$5:$J$108,MATCH(D75,Fixture!$A$5:$A$108,0)),"-999")),IFERROR(INDEX(Fases!$C$5:$C$10,MATCH(IFERROR(INDEX(Fixture!$B$5:$B$108,MATCH(D75,Fixture!$A$5:$A$108,0)),0),Fases!$A$5:$A$10,0)),0),IF(OR(AND(I75&gt;J75,IFERROR(INDEX(Fixture!$I$5:$I$108,MATCH(D75,Fixture!$A$5:$A$108,0)),0)&gt;IFERROR(INDEX(Fixture!$J$5:$J$108,MATCH(D75,Fixture!$A$5:$A$108,0)),0)),AND(I75&lt;J75,IFERROR(INDEX(Fixture!$I$5:$I$108,MATCH(D75,Fixture!$A$5:$A$108,0)),0)&lt;IFERROR(INDEX(Fixture!$J$5:$J$108,MATCH(D75,Fixture!$A$5:$A$108,0)),0)),AND(I75=J75,IFERROR(INDEX(Fixture!$I$5:$I$108,MATCH(D75,Fixture!$A$5:$A$108,0)),0)=IFERROR(INDEX(Fixture!$J$5:$J$108,MATCH(D75,Fixture!$A$5:$A$108,0)),0))),IFERROR(INDEX(Fases!$D$5:$D$10,MATCH(IFERROR(INDEX(Fixture!$B$5:$B$108,MATCH(D75,Fixture!$A$5:$A$108,0)),0),Fases!$A$5:$A$10,0)),0),0))))</f>
        <v/>
      </c>
      <c r="M75" s="12" t="str">
        <f aca="false">IFERROR(INDEX(Fixture!$K$5:$K$108,MATCH(D75,Fixture!$A$5:$A$108,0)),"")</f>
        <v>PENDIENTE</v>
      </c>
    </row>
    <row r="76" customFormat="false" ht="15" hidden="false" customHeight="false" outlineLevel="0" collapsed="false">
      <c r="A76" s="9" t="n">
        <v>72</v>
      </c>
      <c r="B76" s="9" t="n">
        <v>1</v>
      </c>
      <c r="C76" s="10" t="str">
        <f aca="false">IFERROR(INDEX(Usuarios!$C$5:$C$200,MATCH(B76,Usuarios!$A$5:$A$200,0)),"")</f>
        <v>carlitos</v>
      </c>
      <c r="D76" s="9" t="n">
        <v>72</v>
      </c>
      <c r="E76" s="10" t="str">
        <f aca="false">IFERROR(INDEX(Fases!$B$5:$B$10,MATCH(INDEX(Fixture!$B$5:$B$108,MATCH(D76,Fixture!$A$5:$A$108,0)),Fases!$A$5:$A$10,0)),"")</f>
        <v>Grupos</v>
      </c>
      <c r="F76" s="10" t="str">
        <f aca="false">IFERROR(INDEX(Fixture!$E$5:$E$108,MATCH(D76,Fixture!$A$5:$A$108,0)),"")</f>
        <v>Uzbekistán</v>
      </c>
      <c r="G76" s="10" t="str">
        <f aca="false">IFERROR(INDEX(Fixture!$F$5:$F$108,MATCH(D76,Fixture!$A$5:$A$108,0)),"")</f>
        <v>Nueva Zelanda</v>
      </c>
      <c r="H76" s="22" t="n">
        <f aca="false">IFERROR(INDEX(Fixture!$G$5:$G$108,MATCH(D76,Fixture!$A$5:$A$108,0)),"")</f>
        <v>46207.75</v>
      </c>
      <c r="I76" s="23"/>
      <c r="J76" s="23"/>
      <c r="K76" s="10" t="str">
        <f aca="false">IFERROR(INDEX(Fixture!$I$5:$I$108,MATCH(D76,Fixture!$A$5:$A$108,0))&amp;"-"&amp;INDEX(Fixture!$J$5:$J$108,MATCH(D76,Fixture!$A$5:$A$108,0)),"")</f>
        <v>-</v>
      </c>
      <c r="L76" s="9" t="str">
        <f aca="false">IF(M76&lt;&gt;"FINALIZADO","",IF(OR(ISBLANK(I76),ISBLANK(J76)),0,IF(AND(I76=IFERROR(INDEX(Fixture!$I$5:$I$108,MATCH(D76,Fixture!$A$5:$A$108,0)),"-999"),J76=IFERROR(INDEX(Fixture!$J$5:$J$108,MATCH(D76,Fixture!$A$5:$A$108,0)),"-999")),IFERROR(INDEX(Fases!$C$5:$C$10,MATCH(IFERROR(INDEX(Fixture!$B$5:$B$108,MATCH(D76,Fixture!$A$5:$A$108,0)),0),Fases!$A$5:$A$10,0)),0),IF(OR(AND(I76&gt;J76,IFERROR(INDEX(Fixture!$I$5:$I$108,MATCH(D76,Fixture!$A$5:$A$108,0)),0)&gt;IFERROR(INDEX(Fixture!$J$5:$J$108,MATCH(D76,Fixture!$A$5:$A$108,0)),0)),AND(I76&lt;J76,IFERROR(INDEX(Fixture!$I$5:$I$108,MATCH(D76,Fixture!$A$5:$A$108,0)),0)&lt;IFERROR(INDEX(Fixture!$J$5:$J$108,MATCH(D76,Fixture!$A$5:$A$108,0)),0)),AND(I76=J76,IFERROR(INDEX(Fixture!$I$5:$I$108,MATCH(D76,Fixture!$A$5:$A$108,0)),0)=IFERROR(INDEX(Fixture!$J$5:$J$108,MATCH(D76,Fixture!$A$5:$A$108,0)),0))),IFERROR(INDEX(Fases!$D$5:$D$10,MATCH(IFERROR(INDEX(Fixture!$B$5:$B$108,MATCH(D76,Fixture!$A$5:$A$108,0)),0),Fases!$A$5:$A$10,0)),0),0))))</f>
        <v/>
      </c>
      <c r="M76" s="10" t="str">
        <f aca="false">IFERROR(INDEX(Fixture!$K$5:$K$108,MATCH(D76,Fixture!$A$5:$A$108,0)),"")</f>
        <v>PENDIENTE</v>
      </c>
    </row>
    <row r="77" customFormat="false" ht="15" hidden="false" customHeight="false" outlineLevel="0" collapsed="false">
      <c r="A77" s="11" t="n">
        <v>73</v>
      </c>
      <c r="B77" s="11" t="n">
        <v>1</v>
      </c>
      <c r="C77" s="12" t="str">
        <f aca="false">IFERROR(INDEX(Usuarios!$C$5:$C$200,MATCH(B77,Usuarios!$A$5:$A$200,0)),"")</f>
        <v>carlitos</v>
      </c>
      <c r="D77" s="11" t="n">
        <v>73</v>
      </c>
      <c r="E77" s="12" t="str">
        <f aca="false">IFERROR(INDEX(Fases!$B$5:$B$10,MATCH(INDEX(Fixture!$B$5:$B$108,MATCH(D77,Fixture!$A$5:$A$108,0)),Fases!$A$5:$A$10,0)),"")</f>
        <v>Ronda de 32</v>
      </c>
      <c r="F77" s="12" t="str">
        <f aca="false">IFERROR(INDEX(Fixture!$E$5:$E$108,MATCH(D77,Fixture!$A$5:$A$108,0)),"")</f>
        <v>A definir</v>
      </c>
      <c r="G77" s="12" t="str">
        <f aca="false">IFERROR(INDEX(Fixture!$F$5:$F$108,MATCH(D77,Fixture!$A$5:$A$108,0)),"")</f>
        <v>A definir</v>
      </c>
      <c r="H77" s="20" t="n">
        <f aca="false">IFERROR(INDEX(Fixture!$G$5:$G$108,MATCH(D77,Fixture!$A$5:$A$108,0)),"")</f>
        <v>46200.75</v>
      </c>
      <c r="I77" s="21"/>
      <c r="J77" s="21"/>
      <c r="K77" s="12" t="str">
        <f aca="false">IFERROR(INDEX(Fixture!$I$5:$I$108,MATCH(D77,Fixture!$A$5:$A$108,0))&amp;"-"&amp;INDEX(Fixture!$J$5:$J$108,MATCH(D77,Fixture!$A$5:$A$108,0)),"")</f>
        <v>-</v>
      </c>
      <c r="L77" s="11" t="str">
        <f aca="false">IF(M77&lt;&gt;"FINALIZADO","",IF(OR(ISBLANK(I77),ISBLANK(J77)),0,IF(AND(I77=IFERROR(INDEX(Fixture!$I$5:$I$108,MATCH(D77,Fixture!$A$5:$A$108,0)),"-999"),J77=IFERROR(INDEX(Fixture!$J$5:$J$108,MATCH(D77,Fixture!$A$5:$A$108,0)),"-999")),IFERROR(INDEX(Fases!$C$5:$C$10,MATCH(IFERROR(INDEX(Fixture!$B$5:$B$108,MATCH(D77,Fixture!$A$5:$A$108,0)),0),Fases!$A$5:$A$10,0)),0),IF(OR(AND(I77&gt;J77,IFERROR(INDEX(Fixture!$I$5:$I$108,MATCH(D77,Fixture!$A$5:$A$108,0)),0)&gt;IFERROR(INDEX(Fixture!$J$5:$J$108,MATCH(D77,Fixture!$A$5:$A$108,0)),0)),AND(I77&lt;J77,IFERROR(INDEX(Fixture!$I$5:$I$108,MATCH(D77,Fixture!$A$5:$A$108,0)),0)&lt;IFERROR(INDEX(Fixture!$J$5:$J$108,MATCH(D77,Fixture!$A$5:$A$108,0)),0)),AND(I77=J77,IFERROR(INDEX(Fixture!$I$5:$I$108,MATCH(D77,Fixture!$A$5:$A$108,0)),0)=IFERROR(INDEX(Fixture!$J$5:$J$108,MATCH(D77,Fixture!$A$5:$A$108,0)),0))),IFERROR(INDEX(Fases!$D$5:$D$10,MATCH(IFERROR(INDEX(Fixture!$B$5:$B$108,MATCH(D77,Fixture!$A$5:$A$108,0)),0),Fases!$A$5:$A$10,0)),0),0))))</f>
        <v/>
      </c>
      <c r="M77" s="12" t="str">
        <f aca="false">IFERROR(INDEX(Fixture!$K$5:$K$108,MATCH(D77,Fixture!$A$5:$A$108,0)),"")</f>
        <v>PENDIENTE</v>
      </c>
    </row>
    <row r="78" customFormat="false" ht="15" hidden="false" customHeight="false" outlineLevel="0" collapsed="false">
      <c r="A78" s="9" t="n">
        <v>74</v>
      </c>
      <c r="B78" s="9" t="n">
        <v>1</v>
      </c>
      <c r="C78" s="10" t="str">
        <f aca="false">IFERROR(INDEX(Usuarios!$C$5:$C$200,MATCH(B78,Usuarios!$A$5:$A$200,0)),"")</f>
        <v>carlitos</v>
      </c>
      <c r="D78" s="9" t="n">
        <v>74</v>
      </c>
      <c r="E78" s="10" t="str">
        <f aca="false">IFERROR(INDEX(Fases!$B$5:$B$10,MATCH(INDEX(Fixture!$B$5:$B$108,MATCH(D78,Fixture!$A$5:$A$108,0)),Fases!$A$5:$A$10,0)),"")</f>
        <v>Ronda de 32</v>
      </c>
      <c r="F78" s="10" t="str">
        <f aca="false">IFERROR(INDEX(Fixture!$E$5:$E$108,MATCH(D78,Fixture!$A$5:$A$108,0)),"")</f>
        <v>A definir</v>
      </c>
      <c r="G78" s="10" t="str">
        <f aca="false">IFERROR(INDEX(Fixture!$F$5:$F$108,MATCH(D78,Fixture!$A$5:$A$108,0)),"")</f>
        <v>A definir</v>
      </c>
      <c r="H78" s="22" t="n">
        <f aca="false">IFERROR(INDEX(Fixture!$G$5:$G$108,MATCH(D78,Fixture!$A$5:$A$108,0)),"")</f>
        <v>46200.75</v>
      </c>
      <c r="I78" s="23"/>
      <c r="J78" s="23"/>
      <c r="K78" s="10" t="str">
        <f aca="false">IFERROR(INDEX(Fixture!$I$5:$I$108,MATCH(D78,Fixture!$A$5:$A$108,0))&amp;"-"&amp;INDEX(Fixture!$J$5:$J$108,MATCH(D78,Fixture!$A$5:$A$108,0)),"")</f>
        <v>-</v>
      </c>
      <c r="L78" s="9" t="str">
        <f aca="false">IF(M78&lt;&gt;"FINALIZADO","",IF(OR(ISBLANK(I78),ISBLANK(J78)),0,IF(AND(I78=IFERROR(INDEX(Fixture!$I$5:$I$108,MATCH(D78,Fixture!$A$5:$A$108,0)),"-999"),J78=IFERROR(INDEX(Fixture!$J$5:$J$108,MATCH(D78,Fixture!$A$5:$A$108,0)),"-999")),IFERROR(INDEX(Fases!$C$5:$C$10,MATCH(IFERROR(INDEX(Fixture!$B$5:$B$108,MATCH(D78,Fixture!$A$5:$A$108,0)),0),Fases!$A$5:$A$10,0)),0),IF(OR(AND(I78&gt;J78,IFERROR(INDEX(Fixture!$I$5:$I$108,MATCH(D78,Fixture!$A$5:$A$108,0)),0)&gt;IFERROR(INDEX(Fixture!$J$5:$J$108,MATCH(D78,Fixture!$A$5:$A$108,0)),0)),AND(I78&lt;J78,IFERROR(INDEX(Fixture!$I$5:$I$108,MATCH(D78,Fixture!$A$5:$A$108,0)),0)&lt;IFERROR(INDEX(Fixture!$J$5:$J$108,MATCH(D78,Fixture!$A$5:$A$108,0)),0)),AND(I78=J78,IFERROR(INDEX(Fixture!$I$5:$I$108,MATCH(D78,Fixture!$A$5:$A$108,0)),0)=IFERROR(INDEX(Fixture!$J$5:$J$108,MATCH(D78,Fixture!$A$5:$A$108,0)),0))),IFERROR(INDEX(Fases!$D$5:$D$10,MATCH(IFERROR(INDEX(Fixture!$B$5:$B$108,MATCH(D78,Fixture!$A$5:$A$108,0)),0),Fases!$A$5:$A$10,0)),0),0))))</f>
        <v/>
      </c>
      <c r="M78" s="10" t="str">
        <f aca="false">IFERROR(INDEX(Fixture!$K$5:$K$108,MATCH(D78,Fixture!$A$5:$A$108,0)),"")</f>
        <v>PENDIENTE</v>
      </c>
    </row>
    <row r="79" customFormat="false" ht="15" hidden="false" customHeight="false" outlineLevel="0" collapsed="false">
      <c r="A79" s="11" t="n">
        <v>75</v>
      </c>
      <c r="B79" s="11" t="n">
        <v>1</v>
      </c>
      <c r="C79" s="12" t="str">
        <f aca="false">IFERROR(INDEX(Usuarios!$C$5:$C$200,MATCH(B79,Usuarios!$A$5:$A$200,0)),"")</f>
        <v>carlitos</v>
      </c>
      <c r="D79" s="11" t="n">
        <v>75</v>
      </c>
      <c r="E79" s="12" t="str">
        <f aca="false">IFERROR(INDEX(Fases!$B$5:$B$10,MATCH(INDEX(Fixture!$B$5:$B$108,MATCH(D79,Fixture!$A$5:$A$108,0)),Fases!$A$5:$A$10,0)),"")</f>
        <v>Ronda de 32</v>
      </c>
      <c r="F79" s="12" t="str">
        <f aca="false">IFERROR(INDEX(Fixture!$E$5:$E$108,MATCH(D79,Fixture!$A$5:$A$108,0)),"")</f>
        <v>A definir</v>
      </c>
      <c r="G79" s="12" t="str">
        <f aca="false">IFERROR(INDEX(Fixture!$F$5:$F$108,MATCH(D79,Fixture!$A$5:$A$108,0)),"")</f>
        <v>A definir</v>
      </c>
      <c r="H79" s="20" t="n">
        <f aca="false">IFERROR(INDEX(Fixture!$G$5:$G$108,MATCH(D79,Fixture!$A$5:$A$108,0)),"")</f>
        <v>46200.75</v>
      </c>
      <c r="I79" s="21"/>
      <c r="J79" s="21"/>
      <c r="K79" s="12" t="str">
        <f aca="false">IFERROR(INDEX(Fixture!$I$5:$I$108,MATCH(D79,Fixture!$A$5:$A$108,0))&amp;"-"&amp;INDEX(Fixture!$J$5:$J$108,MATCH(D79,Fixture!$A$5:$A$108,0)),"")</f>
        <v>-</v>
      </c>
      <c r="L79" s="11" t="str">
        <f aca="false">IF(M79&lt;&gt;"FINALIZADO","",IF(OR(ISBLANK(I79),ISBLANK(J79)),0,IF(AND(I79=IFERROR(INDEX(Fixture!$I$5:$I$108,MATCH(D79,Fixture!$A$5:$A$108,0)),"-999"),J79=IFERROR(INDEX(Fixture!$J$5:$J$108,MATCH(D79,Fixture!$A$5:$A$108,0)),"-999")),IFERROR(INDEX(Fases!$C$5:$C$10,MATCH(IFERROR(INDEX(Fixture!$B$5:$B$108,MATCH(D79,Fixture!$A$5:$A$108,0)),0),Fases!$A$5:$A$10,0)),0),IF(OR(AND(I79&gt;J79,IFERROR(INDEX(Fixture!$I$5:$I$108,MATCH(D79,Fixture!$A$5:$A$108,0)),0)&gt;IFERROR(INDEX(Fixture!$J$5:$J$108,MATCH(D79,Fixture!$A$5:$A$108,0)),0)),AND(I79&lt;J79,IFERROR(INDEX(Fixture!$I$5:$I$108,MATCH(D79,Fixture!$A$5:$A$108,0)),0)&lt;IFERROR(INDEX(Fixture!$J$5:$J$108,MATCH(D79,Fixture!$A$5:$A$108,0)),0)),AND(I79=J79,IFERROR(INDEX(Fixture!$I$5:$I$108,MATCH(D79,Fixture!$A$5:$A$108,0)),0)=IFERROR(INDEX(Fixture!$J$5:$J$108,MATCH(D79,Fixture!$A$5:$A$108,0)),0))),IFERROR(INDEX(Fases!$D$5:$D$10,MATCH(IFERROR(INDEX(Fixture!$B$5:$B$108,MATCH(D79,Fixture!$A$5:$A$108,0)),0),Fases!$A$5:$A$10,0)),0),0))))</f>
        <v/>
      </c>
      <c r="M79" s="12" t="str">
        <f aca="false">IFERROR(INDEX(Fixture!$K$5:$K$108,MATCH(D79,Fixture!$A$5:$A$108,0)),"")</f>
        <v>PENDIENTE</v>
      </c>
    </row>
    <row r="80" customFormat="false" ht="15" hidden="false" customHeight="false" outlineLevel="0" collapsed="false">
      <c r="A80" s="9" t="n">
        <v>76</v>
      </c>
      <c r="B80" s="9" t="n">
        <v>1</v>
      </c>
      <c r="C80" s="10" t="str">
        <f aca="false">IFERROR(INDEX(Usuarios!$C$5:$C$200,MATCH(B80,Usuarios!$A$5:$A$200,0)),"")</f>
        <v>carlitos</v>
      </c>
      <c r="D80" s="9" t="n">
        <v>76</v>
      </c>
      <c r="E80" s="10" t="str">
        <f aca="false">IFERROR(INDEX(Fases!$B$5:$B$10,MATCH(INDEX(Fixture!$B$5:$B$108,MATCH(D80,Fixture!$A$5:$A$108,0)),Fases!$A$5:$A$10,0)),"")</f>
        <v>Ronda de 32</v>
      </c>
      <c r="F80" s="10" t="str">
        <f aca="false">IFERROR(INDEX(Fixture!$E$5:$E$108,MATCH(D80,Fixture!$A$5:$A$108,0)),"")</f>
        <v>A definir</v>
      </c>
      <c r="G80" s="10" t="str">
        <f aca="false">IFERROR(INDEX(Fixture!$F$5:$F$108,MATCH(D80,Fixture!$A$5:$A$108,0)),"")</f>
        <v>A definir</v>
      </c>
      <c r="H80" s="22" t="n">
        <f aca="false">IFERROR(INDEX(Fixture!$G$5:$G$108,MATCH(D80,Fixture!$A$5:$A$108,0)),"")</f>
        <v>46200.75</v>
      </c>
      <c r="I80" s="23"/>
      <c r="J80" s="23"/>
      <c r="K80" s="10" t="str">
        <f aca="false">IFERROR(INDEX(Fixture!$I$5:$I$108,MATCH(D80,Fixture!$A$5:$A$108,0))&amp;"-"&amp;INDEX(Fixture!$J$5:$J$108,MATCH(D80,Fixture!$A$5:$A$108,0)),"")</f>
        <v>-</v>
      </c>
      <c r="L80" s="9" t="str">
        <f aca="false">IF(M80&lt;&gt;"FINALIZADO","",IF(OR(ISBLANK(I80),ISBLANK(J80)),0,IF(AND(I80=IFERROR(INDEX(Fixture!$I$5:$I$108,MATCH(D80,Fixture!$A$5:$A$108,0)),"-999"),J80=IFERROR(INDEX(Fixture!$J$5:$J$108,MATCH(D80,Fixture!$A$5:$A$108,0)),"-999")),IFERROR(INDEX(Fases!$C$5:$C$10,MATCH(IFERROR(INDEX(Fixture!$B$5:$B$108,MATCH(D80,Fixture!$A$5:$A$108,0)),0),Fases!$A$5:$A$10,0)),0),IF(OR(AND(I80&gt;J80,IFERROR(INDEX(Fixture!$I$5:$I$108,MATCH(D80,Fixture!$A$5:$A$108,0)),0)&gt;IFERROR(INDEX(Fixture!$J$5:$J$108,MATCH(D80,Fixture!$A$5:$A$108,0)),0)),AND(I80&lt;J80,IFERROR(INDEX(Fixture!$I$5:$I$108,MATCH(D80,Fixture!$A$5:$A$108,0)),0)&lt;IFERROR(INDEX(Fixture!$J$5:$J$108,MATCH(D80,Fixture!$A$5:$A$108,0)),0)),AND(I80=J80,IFERROR(INDEX(Fixture!$I$5:$I$108,MATCH(D80,Fixture!$A$5:$A$108,0)),0)=IFERROR(INDEX(Fixture!$J$5:$J$108,MATCH(D80,Fixture!$A$5:$A$108,0)),0))),IFERROR(INDEX(Fases!$D$5:$D$10,MATCH(IFERROR(INDEX(Fixture!$B$5:$B$108,MATCH(D80,Fixture!$A$5:$A$108,0)),0),Fases!$A$5:$A$10,0)),0),0))))</f>
        <v/>
      </c>
      <c r="M80" s="10" t="str">
        <f aca="false">IFERROR(INDEX(Fixture!$K$5:$K$108,MATCH(D80,Fixture!$A$5:$A$108,0)),"")</f>
        <v>PENDIENTE</v>
      </c>
    </row>
    <row r="81" customFormat="false" ht="15" hidden="false" customHeight="false" outlineLevel="0" collapsed="false">
      <c r="A81" s="11" t="n">
        <v>77</v>
      </c>
      <c r="B81" s="11" t="n">
        <v>1</v>
      </c>
      <c r="C81" s="12" t="str">
        <f aca="false">IFERROR(INDEX(Usuarios!$C$5:$C$200,MATCH(B81,Usuarios!$A$5:$A$200,0)),"")</f>
        <v>carlitos</v>
      </c>
      <c r="D81" s="11" t="n">
        <v>77</v>
      </c>
      <c r="E81" s="12" t="str">
        <f aca="false">IFERROR(INDEX(Fases!$B$5:$B$10,MATCH(INDEX(Fixture!$B$5:$B$108,MATCH(D81,Fixture!$A$5:$A$108,0)),Fases!$A$5:$A$10,0)),"")</f>
        <v>Ronda de 32</v>
      </c>
      <c r="F81" s="12" t="str">
        <f aca="false">IFERROR(INDEX(Fixture!$E$5:$E$108,MATCH(D81,Fixture!$A$5:$A$108,0)),"")</f>
        <v>A definir</v>
      </c>
      <c r="G81" s="12" t="str">
        <f aca="false">IFERROR(INDEX(Fixture!$F$5:$F$108,MATCH(D81,Fixture!$A$5:$A$108,0)),"")</f>
        <v>A definir</v>
      </c>
      <c r="H81" s="20" t="n">
        <f aca="false">IFERROR(INDEX(Fixture!$G$5:$G$108,MATCH(D81,Fixture!$A$5:$A$108,0)),"")</f>
        <v>46201.75</v>
      </c>
      <c r="I81" s="21"/>
      <c r="J81" s="21"/>
      <c r="K81" s="12" t="str">
        <f aca="false">IFERROR(INDEX(Fixture!$I$5:$I$108,MATCH(D81,Fixture!$A$5:$A$108,0))&amp;"-"&amp;INDEX(Fixture!$J$5:$J$108,MATCH(D81,Fixture!$A$5:$A$108,0)),"")</f>
        <v>-</v>
      </c>
      <c r="L81" s="11" t="str">
        <f aca="false">IF(M81&lt;&gt;"FINALIZADO","",IF(OR(ISBLANK(I81),ISBLANK(J81)),0,IF(AND(I81=IFERROR(INDEX(Fixture!$I$5:$I$108,MATCH(D81,Fixture!$A$5:$A$108,0)),"-999"),J81=IFERROR(INDEX(Fixture!$J$5:$J$108,MATCH(D81,Fixture!$A$5:$A$108,0)),"-999")),IFERROR(INDEX(Fases!$C$5:$C$10,MATCH(IFERROR(INDEX(Fixture!$B$5:$B$108,MATCH(D81,Fixture!$A$5:$A$108,0)),0),Fases!$A$5:$A$10,0)),0),IF(OR(AND(I81&gt;J81,IFERROR(INDEX(Fixture!$I$5:$I$108,MATCH(D81,Fixture!$A$5:$A$108,0)),0)&gt;IFERROR(INDEX(Fixture!$J$5:$J$108,MATCH(D81,Fixture!$A$5:$A$108,0)),0)),AND(I81&lt;J81,IFERROR(INDEX(Fixture!$I$5:$I$108,MATCH(D81,Fixture!$A$5:$A$108,0)),0)&lt;IFERROR(INDEX(Fixture!$J$5:$J$108,MATCH(D81,Fixture!$A$5:$A$108,0)),0)),AND(I81=J81,IFERROR(INDEX(Fixture!$I$5:$I$108,MATCH(D81,Fixture!$A$5:$A$108,0)),0)=IFERROR(INDEX(Fixture!$J$5:$J$108,MATCH(D81,Fixture!$A$5:$A$108,0)),0))),IFERROR(INDEX(Fases!$D$5:$D$10,MATCH(IFERROR(INDEX(Fixture!$B$5:$B$108,MATCH(D81,Fixture!$A$5:$A$108,0)),0),Fases!$A$5:$A$10,0)),0),0))))</f>
        <v/>
      </c>
      <c r="M81" s="12" t="str">
        <f aca="false">IFERROR(INDEX(Fixture!$K$5:$K$108,MATCH(D81,Fixture!$A$5:$A$108,0)),"")</f>
        <v>PENDIENTE</v>
      </c>
    </row>
    <row r="82" customFormat="false" ht="15" hidden="false" customHeight="false" outlineLevel="0" collapsed="false">
      <c r="A82" s="9" t="n">
        <v>78</v>
      </c>
      <c r="B82" s="9" t="n">
        <v>1</v>
      </c>
      <c r="C82" s="10" t="str">
        <f aca="false">IFERROR(INDEX(Usuarios!$C$5:$C$200,MATCH(B82,Usuarios!$A$5:$A$200,0)),"")</f>
        <v>carlitos</v>
      </c>
      <c r="D82" s="9" t="n">
        <v>78</v>
      </c>
      <c r="E82" s="10" t="str">
        <f aca="false">IFERROR(INDEX(Fases!$B$5:$B$10,MATCH(INDEX(Fixture!$B$5:$B$108,MATCH(D82,Fixture!$A$5:$A$108,0)),Fases!$A$5:$A$10,0)),"")</f>
        <v>Ronda de 32</v>
      </c>
      <c r="F82" s="10" t="str">
        <f aca="false">IFERROR(INDEX(Fixture!$E$5:$E$108,MATCH(D82,Fixture!$A$5:$A$108,0)),"")</f>
        <v>A definir</v>
      </c>
      <c r="G82" s="10" t="str">
        <f aca="false">IFERROR(INDEX(Fixture!$F$5:$F$108,MATCH(D82,Fixture!$A$5:$A$108,0)),"")</f>
        <v>A definir</v>
      </c>
      <c r="H82" s="22" t="n">
        <f aca="false">IFERROR(INDEX(Fixture!$G$5:$G$108,MATCH(D82,Fixture!$A$5:$A$108,0)),"")</f>
        <v>46201.75</v>
      </c>
      <c r="I82" s="23"/>
      <c r="J82" s="23"/>
      <c r="K82" s="10" t="str">
        <f aca="false">IFERROR(INDEX(Fixture!$I$5:$I$108,MATCH(D82,Fixture!$A$5:$A$108,0))&amp;"-"&amp;INDEX(Fixture!$J$5:$J$108,MATCH(D82,Fixture!$A$5:$A$108,0)),"")</f>
        <v>-</v>
      </c>
      <c r="L82" s="9" t="str">
        <f aca="false">IF(M82&lt;&gt;"FINALIZADO","",IF(OR(ISBLANK(I82),ISBLANK(J82)),0,IF(AND(I82=IFERROR(INDEX(Fixture!$I$5:$I$108,MATCH(D82,Fixture!$A$5:$A$108,0)),"-999"),J82=IFERROR(INDEX(Fixture!$J$5:$J$108,MATCH(D82,Fixture!$A$5:$A$108,0)),"-999")),IFERROR(INDEX(Fases!$C$5:$C$10,MATCH(IFERROR(INDEX(Fixture!$B$5:$B$108,MATCH(D82,Fixture!$A$5:$A$108,0)),0),Fases!$A$5:$A$10,0)),0),IF(OR(AND(I82&gt;J82,IFERROR(INDEX(Fixture!$I$5:$I$108,MATCH(D82,Fixture!$A$5:$A$108,0)),0)&gt;IFERROR(INDEX(Fixture!$J$5:$J$108,MATCH(D82,Fixture!$A$5:$A$108,0)),0)),AND(I82&lt;J82,IFERROR(INDEX(Fixture!$I$5:$I$108,MATCH(D82,Fixture!$A$5:$A$108,0)),0)&lt;IFERROR(INDEX(Fixture!$J$5:$J$108,MATCH(D82,Fixture!$A$5:$A$108,0)),0)),AND(I82=J82,IFERROR(INDEX(Fixture!$I$5:$I$108,MATCH(D82,Fixture!$A$5:$A$108,0)),0)=IFERROR(INDEX(Fixture!$J$5:$J$108,MATCH(D82,Fixture!$A$5:$A$108,0)),0))),IFERROR(INDEX(Fases!$D$5:$D$10,MATCH(IFERROR(INDEX(Fixture!$B$5:$B$108,MATCH(D82,Fixture!$A$5:$A$108,0)),0),Fases!$A$5:$A$10,0)),0),0))))</f>
        <v/>
      </c>
      <c r="M82" s="10" t="str">
        <f aca="false">IFERROR(INDEX(Fixture!$K$5:$K$108,MATCH(D82,Fixture!$A$5:$A$108,0)),"")</f>
        <v>PENDIENTE</v>
      </c>
    </row>
    <row r="83" customFormat="false" ht="15" hidden="false" customHeight="false" outlineLevel="0" collapsed="false">
      <c r="A83" s="11" t="n">
        <v>79</v>
      </c>
      <c r="B83" s="11" t="n">
        <v>1</v>
      </c>
      <c r="C83" s="12" t="str">
        <f aca="false">IFERROR(INDEX(Usuarios!$C$5:$C$200,MATCH(B83,Usuarios!$A$5:$A$200,0)),"")</f>
        <v>carlitos</v>
      </c>
      <c r="D83" s="11" t="n">
        <v>79</v>
      </c>
      <c r="E83" s="12" t="str">
        <f aca="false">IFERROR(INDEX(Fases!$B$5:$B$10,MATCH(INDEX(Fixture!$B$5:$B$108,MATCH(D83,Fixture!$A$5:$A$108,0)),Fases!$A$5:$A$10,0)),"")</f>
        <v>Ronda de 32</v>
      </c>
      <c r="F83" s="12" t="str">
        <f aca="false">IFERROR(INDEX(Fixture!$E$5:$E$108,MATCH(D83,Fixture!$A$5:$A$108,0)),"")</f>
        <v>A definir</v>
      </c>
      <c r="G83" s="12" t="str">
        <f aca="false">IFERROR(INDEX(Fixture!$F$5:$F$108,MATCH(D83,Fixture!$A$5:$A$108,0)),"")</f>
        <v>A definir</v>
      </c>
      <c r="H83" s="20" t="n">
        <f aca="false">IFERROR(INDEX(Fixture!$G$5:$G$108,MATCH(D83,Fixture!$A$5:$A$108,0)),"")</f>
        <v>46201.75</v>
      </c>
      <c r="I83" s="21"/>
      <c r="J83" s="21"/>
      <c r="K83" s="12" t="str">
        <f aca="false">IFERROR(INDEX(Fixture!$I$5:$I$108,MATCH(D83,Fixture!$A$5:$A$108,0))&amp;"-"&amp;INDEX(Fixture!$J$5:$J$108,MATCH(D83,Fixture!$A$5:$A$108,0)),"")</f>
        <v>-</v>
      </c>
      <c r="L83" s="11" t="str">
        <f aca="false">IF(M83&lt;&gt;"FINALIZADO","",IF(OR(ISBLANK(I83),ISBLANK(J83)),0,IF(AND(I83=IFERROR(INDEX(Fixture!$I$5:$I$108,MATCH(D83,Fixture!$A$5:$A$108,0)),"-999"),J83=IFERROR(INDEX(Fixture!$J$5:$J$108,MATCH(D83,Fixture!$A$5:$A$108,0)),"-999")),IFERROR(INDEX(Fases!$C$5:$C$10,MATCH(IFERROR(INDEX(Fixture!$B$5:$B$108,MATCH(D83,Fixture!$A$5:$A$108,0)),0),Fases!$A$5:$A$10,0)),0),IF(OR(AND(I83&gt;J83,IFERROR(INDEX(Fixture!$I$5:$I$108,MATCH(D83,Fixture!$A$5:$A$108,0)),0)&gt;IFERROR(INDEX(Fixture!$J$5:$J$108,MATCH(D83,Fixture!$A$5:$A$108,0)),0)),AND(I83&lt;J83,IFERROR(INDEX(Fixture!$I$5:$I$108,MATCH(D83,Fixture!$A$5:$A$108,0)),0)&lt;IFERROR(INDEX(Fixture!$J$5:$J$108,MATCH(D83,Fixture!$A$5:$A$108,0)),0)),AND(I83=J83,IFERROR(INDEX(Fixture!$I$5:$I$108,MATCH(D83,Fixture!$A$5:$A$108,0)),0)=IFERROR(INDEX(Fixture!$J$5:$J$108,MATCH(D83,Fixture!$A$5:$A$108,0)),0))),IFERROR(INDEX(Fases!$D$5:$D$10,MATCH(IFERROR(INDEX(Fixture!$B$5:$B$108,MATCH(D83,Fixture!$A$5:$A$108,0)),0),Fases!$A$5:$A$10,0)),0),0))))</f>
        <v/>
      </c>
      <c r="M83" s="12" t="str">
        <f aca="false">IFERROR(INDEX(Fixture!$K$5:$K$108,MATCH(D83,Fixture!$A$5:$A$108,0)),"")</f>
        <v>PENDIENTE</v>
      </c>
    </row>
    <row r="84" customFormat="false" ht="15" hidden="false" customHeight="false" outlineLevel="0" collapsed="false">
      <c r="A84" s="9" t="n">
        <v>80</v>
      </c>
      <c r="B84" s="9" t="n">
        <v>1</v>
      </c>
      <c r="C84" s="10" t="str">
        <f aca="false">IFERROR(INDEX(Usuarios!$C$5:$C$200,MATCH(B84,Usuarios!$A$5:$A$200,0)),"")</f>
        <v>carlitos</v>
      </c>
      <c r="D84" s="9" t="n">
        <v>80</v>
      </c>
      <c r="E84" s="10" t="str">
        <f aca="false">IFERROR(INDEX(Fases!$B$5:$B$10,MATCH(INDEX(Fixture!$B$5:$B$108,MATCH(D84,Fixture!$A$5:$A$108,0)),Fases!$A$5:$A$10,0)),"")</f>
        <v>Ronda de 32</v>
      </c>
      <c r="F84" s="10" t="str">
        <f aca="false">IFERROR(INDEX(Fixture!$E$5:$E$108,MATCH(D84,Fixture!$A$5:$A$108,0)),"")</f>
        <v>A definir</v>
      </c>
      <c r="G84" s="10" t="str">
        <f aca="false">IFERROR(INDEX(Fixture!$F$5:$F$108,MATCH(D84,Fixture!$A$5:$A$108,0)),"")</f>
        <v>A definir</v>
      </c>
      <c r="H84" s="22" t="n">
        <f aca="false">IFERROR(INDEX(Fixture!$G$5:$G$108,MATCH(D84,Fixture!$A$5:$A$108,0)),"")</f>
        <v>46201.75</v>
      </c>
      <c r="I84" s="23"/>
      <c r="J84" s="23"/>
      <c r="K84" s="10" t="str">
        <f aca="false">IFERROR(INDEX(Fixture!$I$5:$I$108,MATCH(D84,Fixture!$A$5:$A$108,0))&amp;"-"&amp;INDEX(Fixture!$J$5:$J$108,MATCH(D84,Fixture!$A$5:$A$108,0)),"")</f>
        <v>-</v>
      </c>
      <c r="L84" s="9" t="str">
        <f aca="false">IF(M84&lt;&gt;"FINALIZADO","",IF(OR(ISBLANK(I84),ISBLANK(J84)),0,IF(AND(I84=IFERROR(INDEX(Fixture!$I$5:$I$108,MATCH(D84,Fixture!$A$5:$A$108,0)),"-999"),J84=IFERROR(INDEX(Fixture!$J$5:$J$108,MATCH(D84,Fixture!$A$5:$A$108,0)),"-999")),IFERROR(INDEX(Fases!$C$5:$C$10,MATCH(IFERROR(INDEX(Fixture!$B$5:$B$108,MATCH(D84,Fixture!$A$5:$A$108,0)),0),Fases!$A$5:$A$10,0)),0),IF(OR(AND(I84&gt;J84,IFERROR(INDEX(Fixture!$I$5:$I$108,MATCH(D84,Fixture!$A$5:$A$108,0)),0)&gt;IFERROR(INDEX(Fixture!$J$5:$J$108,MATCH(D84,Fixture!$A$5:$A$108,0)),0)),AND(I84&lt;J84,IFERROR(INDEX(Fixture!$I$5:$I$108,MATCH(D84,Fixture!$A$5:$A$108,0)),0)&lt;IFERROR(INDEX(Fixture!$J$5:$J$108,MATCH(D84,Fixture!$A$5:$A$108,0)),0)),AND(I84=J84,IFERROR(INDEX(Fixture!$I$5:$I$108,MATCH(D84,Fixture!$A$5:$A$108,0)),0)=IFERROR(INDEX(Fixture!$J$5:$J$108,MATCH(D84,Fixture!$A$5:$A$108,0)),0))),IFERROR(INDEX(Fases!$D$5:$D$10,MATCH(IFERROR(INDEX(Fixture!$B$5:$B$108,MATCH(D84,Fixture!$A$5:$A$108,0)),0),Fases!$A$5:$A$10,0)),0),0))))</f>
        <v/>
      </c>
      <c r="M84" s="10" t="str">
        <f aca="false">IFERROR(INDEX(Fixture!$K$5:$K$108,MATCH(D84,Fixture!$A$5:$A$108,0)),"")</f>
        <v>PENDIENTE</v>
      </c>
    </row>
    <row r="85" customFormat="false" ht="15" hidden="false" customHeight="false" outlineLevel="0" collapsed="false">
      <c r="A85" s="11" t="n">
        <v>81</v>
      </c>
      <c r="B85" s="11" t="n">
        <v>1</v>
      </c>
      <c r="C85" s="12" t="str">
        <f aca="false">IFERROR(INDEX(Usuarios!$C$5:$C$200,MATCH(B85,Usuarios!$A$5:$A$200,0)),"")</f>
        <v>carlitos</v>
      </c>
      <c r="D85" s="11" t="n">
        <v>81</v>
      </c>
      <c r="E85" s="12" t="str">
        <f aca="false">IFERROR(INDEX(Fases!$B$5:$B$10,MATCH(INDEX(Fixture!$B$5:$B$108,MATCH(D85,Fixture!$A$5:$A$108,0)),Fases!$A$5:$A$10,0)),"")</f>
        <v>Ronda de 32</v>
      </c>
      <c r="F85" s="12" t="str">
        <f aca="false">IFERROR(INDEX(Fixture!$E$5:$E$108,MATCH(D85,Fixture!$A$5:$A$108,0)),"")</f>
        <v>A definir</v>
      </c>
      <c r="G85" s="12" t="str">
        <f aca="false">IFERROR(INDEX(Fixture!$F$5:$F$108,MATCH(D85,Fixture!$A$5:$A$108,0)),"")</f>
        <v>A definir</v>
      </c>
      <c r="H85" s="20" t="n">
        <f aca="false">IFERROR(INDEX(Fixture!$G$5:$G$108,MATCH(D85,Fixture!$A$5:$A$108,0)),"")</f>
        <v>46202.75</v>
      </c>
      <c r="I85" s="21"/>
      <c r="J85" s="21"/>
      <c r="K85" s="12" t="str">
        <f aca="false">IFERROR(INDEX(Fixture!$I$5:$I$108,MATCH(D85,Fixture!$A$5:$A$108,0))&amp;"-"&amp;INDEX(Fixture!$J$5:$J$108,MATCH(D85,Fixture!$A$5:$A$108,0)),"")</f>
        <v>-</v>
      </c>
      <c r="L85" s="11" t="str">
        <f aca="false">IF(M85&lt;&gt;"FINALIZADO","",IF(OR(ISBLANK(I85),ISBLANK(J85)),0,IF(AND(I85=IFERROR(INDEX(Fixture!$I$5:$I$108,MATCH(D85,Fixture!$A$5:$A$108,0)),"-999"),J85=IFERROR(INDEX(Fixture!$J$5:$J$108,MATCH(D85,Fixture!$A$5:$A$108,0)),"-999")),IFERROR(INDEX(Fases!$C$5:$C$10,MATCH(IFERROR(INDEX(Fixture!$B$5:$B$108,MATCH(D85,Fixture!$A$5:$A$108,0)),0),Fases!$A$5:$A$10,0)),0),IF(OR(AND(I85&gt;J85,IFERROR(INDEX(Fixture!$I$5:$I$108,MATCH(D85,Fixture!$A$5:$A$108,0)),0)&gt;IFERROR(INDEX(Fixture!$J$5:$J$108,MATCH(D85,Fixture!$A$5:$A$108,0)),0)),AND(I85&lt;J85,IFERROR(INDEX(Fixture!$I$5:$I$108,MATCH(D85,Fixture!$A$5:$A$108,0)),0)&lt;IFERROR(INDEX(Fixture!$J$5:$J$108,MATCH(D85,Fixture!$A$5:$A$108,0)),0)),AND(I85=J85,IFERROR(INDEX(Fixture!$I$5:$I$108,MATCH(D85,Fixture!$A$5:$A$108,0)),0)=IFERROR(INDEX(Fixture!$J$5:$J$108,MATCH(D85,Fixture!$A$5:$A$108,0)),0))),IFERROR(INDEX(Fases!$D$5:$D$10,MATCH(IFERROR(INDEX(Fixture!$B$5:$B$108,MATCH(D85,Fixture!$A$5:$A$108,0)),0),Fases!$A$5:$A$10,0)),0),0))))</f>
        <v/>
      </c>
      <c r="M85" s="12" t="str">
        <f aca="false">IFERROR(INDEX(Fixture!$K$5:$K$108,MATCH(D85,Fixture!$A$5:$A$108,0)),"")</f>
        <v>PENDIENTE</v>
      </c>
    </row>
    <row r="86" customFormat="false" ht="15" hidden="false" customHeight="false" outlineLevel="0" collapsed="false">
      <c r="A86" s="9" t="n">
        <v>82</v>
      </c>
      <c r="B86" s="9" t="n">
        <v>1</v>
      </c>
      <c r="C86" s="10" t="str">
        <f aca="false">IFERROR(INDEX(Usuarios!$C$5:$C$200,MATCH(B86,Usuarios!$A$5:$A$200,0)),"")</f>
        <v>carlitos</v>
      </c>
      <c r="D86" s="9" t="n">
        <v>82</v>
      </c>
      <c r="E86" s="10" t="str">
        <f aca="false">IFERROR(INDEX(Fases!$B$5:$B$10,MATCH(INDEX(Fixture!$B$5:$B$108,MATCH(D86,Fixture!$A$5:$A$108,0)),Fases!$A$5:$A$10,0)),"")</f>
        <v>Ronda de 32</v>
      </c>
      <c r="F86" s="10" t="str">
        <f aca="false">IFERROR(INDEX(Fixture!$E$5:$E$108,MATCH(D86,Fixture!$A$5:$A$108,0)),"")</f>
        <v>A definir</v>
      </c>
      <c r="G86" s="10" t="str">
        <f aca="false">IFERROR(INDEX(Fixture!$F$5:$F$108,MATCH(D86,Fixture!$A$5:$A$108,0)),"")</f>
        <v>A definir</v>
      </c>
      <c r="H86" s="22" t="n">
        <f aca="false">IFERROR(INDEX(Fixture!$G$5:$G$108,MATCH(D86,Fixture!$A$5:$A$108,0)),"")</f>
        <v>46202.75</v>
      </c>
      <c r="I86" s="23"/>
      <c r="J86" s="23"/>
      <c r="K86" s="10" t="str">
        <f aca="false">IFERROR(INDEX(Fixture!$I$5:$I$108,MATCH(D86,Fixture!$A$5:$A$108,0))&amp;"-"&amp;INDEX(Fixture!$J$5:$J$108,MATCH(D86,Fixture!$A$5:$A$108,0)),"")</f>
        <v>-</v>
      </c>
      <c r="L86" s="9" t="str">
        <f aca="false">IF(M86&lt;&gt;"FINALIZADO","",IF(OR(ISBLANK(I86),ISBLANK(J86)),0,IF(AND(I86=IFERROR(INDEX(Fixture!$I$5:$I$108,MATCH(D86,Fixture!$A$5:$A$108,0)),"-999"),J86=IFERROR(INDEX(Fixture!$J$5:$J$108,MATCH(D86,Fixture!$A$5:$A$108,0)),"-999")),IFERROR(INDEX(Fases!$C$5:$C$10,MATCH(IFERROR(INDEX(Fixture!$B$5:$B$108,MATCH(D86,Fixture!$A$5:$A$108,0)),0),Fases!$A$5:$A$10,0)),0),IF(OR(AND(I86&gt;J86,IFERROR(INDEX(Fixture!$I$5:$I$108,MATCH(D86,Fixture!$A$5:$A$108,0)),0)&gt;IFERROR(INDEX(Fixture!$J$5:$J$108,MATCH(D86,Fixture!$A$5:$A$108,0)),0)),AND(I86&lt;J86,IFERROR(INDEX(Fixture!$I$5:$I$108,MATCH(D86,Fixture!$A$5:$A$108,0)),0)&lt;IFERROR(INDEX(Fixture!$J$5:$J$108,MATCH(D86,Fixture!$A$5:$A$108,0)),0)),AND(I86=J86,IFERROR(INDEX(Fixture!$I$5:$I$108,MATCH(D86,Fixture!$A$5:$A$108,0)),0)=IFERROR(INDEX(Fixture!$J$5:$J$108,MATCH(D86,Fixture!$A$5:$A$108,0)),0))),IFERROR(INDEX(Fases!$D$5:$D$10,MATCH(IFERROR(INDEX(Fixture!$B$5:$B$108,MATCH(D86,Fixture!$A$5:$A$108,0)),0),Fases!$A$5:$A$10,0)),0),0))))</f>
        <v/>
      </c>
      <c r="M86" s="10" t="str">
        <f aca="false">IFERROR(INDEX(Fixture!$K$5:$K$108,MATCH(D86,Fixture!$A$5:$A$108,0)),"")</f>
        <v>PENDIENTE</v>
      </c>
    </row>
    <row r="87" customFormat="false" ht="15" hidden="false" customHeight="false" outlineLevel="0" collapsed="false">
      <c r="A87" s="11" t="n">
        <v>83</v>
      </c>
      <c r="B87" s="11" t="n">
        <v>1</v>
      </c>
      <c r="C87" s="12" t="str">
        <f aca="false">IFERROR(INDEX(Usuarios!$C$5:$C$200,MATCH(B87,Usuarios!$A$5:$A$200,0)),"")</f>
        <v>carlitos</v>
      </c>
      <c r="D87" s="11" t="n">
        <v>83</v>
      </c>
      <c r="E87" s="12" t="str">
        <f aca="false">IFERROR(INDEX(Fases!$B$5:$B$10,MATCH(INDEX(Fixture!$B$5:$B$108,MATCH(D87,Fixture!$A$5:$A$108,0)),Fases!$A$5:$A$10,0)),"")</f>
        <v>Ronda de 32</v>
      </c>
      <c r="F87" s="12" t="str">
        <f aca="false">IFERROR(INDEX(Fixture!$E$5:$E$108,MATCH(D87,Fixture!$A$5:$A$108,0)),"")</f>
        <v>A definir</v>
      </c>
      <c r="G87" s="12" t="str">
        <f aca="false">IFERROR(INDEX(Fixture!$F$5:$F$108,MATCH(D87,Fixture!$A$5:$A$108,0)),"")</f>
        <v>A definir</v>
      </c>
      <c r="H87" s="20" t="n">
        <f aca="false">IFERROR(INDEX(Fixture!$G$5:$G$108,MATCH(D87,Fixture!$A$5:$A$108,0)),"")</f>
        <v>46202.75</v>
      </c>
      <c r="I87" s="21"/>
      <c r="J87" s="21"/>
      <c r="K87" s="12" t="str">
        <f aca="false">IFERROR(INDEX(Fixture!$I$5:$I$108,MATCH(D87,Fixture!$A$5:$A$108,0))&amp;"-"&amp;INDEX(Fixture!$J$5:$J$108,MATCH(D87,Fixture!$A$5:$A$108,0)),"")</f>
        <v>-</v>
      </c>
      <c r="L87" s="11" t="str">
        <f aca="false">IF(M87&lt;&gt;"FINALIZADO","",IF(OR(ISBLANK(I87),ISBLANK(J87)),0,IF(AND(I87=IFERROR(INDEX(Fixture!$I$5:$I$108,MATCH(D87,Fixture!$A$5:$A$108,0)),"-999"),J87=IFERROR(INDEX(Fixture!$J$5:$J$108,MATCH(D87,Fixture!$A$5:$A$108,0)),"-999")),IFERROR(INDEX(Fases!$C$5:$C$10,MATCH(IFERROR(INDEX(Fixture!$B$5:$B$108,MATCH(D87,Fixture!$A$5:$A$108,0)),0),Fases!$A$5:$A$10,0)),0),IF(OR(AND(I87&gt;J87,IFERROR(INDEX(Fixture!$I$5:$I$108,MATCH(D87,Fixture!$A$5:$A$108,0)),0)&gt;IFERROR(INDEX(Fixture!$J$5:$J$108,MATCH(D87,Fixture!$A$5:$A$108,0)),0)),AND(I87&lt;J87,IFERROR(INDEX(Fixture!$I$5:$I$108,MATCH(D87,Fixture!$A$5:$A$108,0)),0)&lt;IFERROR(INDEX(Fixture!$J$5:$J$108,MATCH(D87,Fixture!$A$5:$A$108,0)),0)),AND(I87=J87,IFERROR(INDEX(Fixture!$I$5:$I$108,MATCH(D87,Fixture!$A$5:$A$108,0)),0)=IFERROR(INDEX(Fixture!$J$5:$J$108,MATCH(D87,Fixture!$A$5:$A$108,0)),0))),IFERROR(INDEX(Fases!$D$5:$D$10,MATCH(IFERROR(INDEX(Fixture!$B$5:$B$108,MATCH(D87,Fixture!$A$5:$A$108,0)),0),Fases!$A$5:$A$10,0)),0),0))))</f>
        <v/>
      </c>
      <c r="M87" s="12" t="str">
        <f aca="false">IFERROR(INDEX(Fixture!$K$5:$K$108,MATCH(D87,Fixture!$A$5:$A$108,0)),"")</f>
        <v>PENDIENTE</v>
      </c>
    </row>
    <row r="88" customFormat="false" ht="15" hidden="false" customHeight="false" outlineLevel="0" collapsed="false">
      <c r="A88" s="9" t="n">
        <v>84</v>
      </c>
      <c r="B88" s="9" t="n">
        <v>1</v>
      </c>
      <c r="C88" s="10" t="str">
        <f aca="false">IFERROR(INDEX(Usuarios!$C$5:$C$200,MATCH(B88,Usuarios!$A$5:$A$200,0)),"")</f>
        <v>carlitos</v>
      </c>
      <c r="D88" s="9" t="n">
        <v>84</v>
      </c>
      <c r="E88" s="10" t="str">
        <f aca="false">IFERROR(INDEX(Fases!$B$5:$B$10,MATCH(INDEX(Fixture!$B$5:$B$108,MATCH(D88,Fixture!$A$5:$A$108,0)),Fases!$A$5:$A$10,0)),"")</f>
        <v>Ronda de 32</v>
      </c>
      <c r="F88" s="10" t="str">
        <f aca="false">IFERROR(INDEX(Fixture!$E$5:$E$108,MATCH(D88,Fixture!$A$5:$A$108,0)),"")</f>
        <v>A definir</v>
      </c>
      <c r="G88" s="10" t="str">
        <f aca="false">IFERROR(INDEX(Fixture!$F$5:$F$108,MATCH(D88,Fixture!$A$5:$A$108,0)),"")</f>
        <v>A definir</v>
      </c>
      <c r="H88" s="22" t="n">
        <f aca="false">IFERROR(INDEX(Fixture!$G$5:$G$108,MATCH(D88,Fixture!$A$5:$A$108,0)),"")</f>
        <v>46202.75</v>
      </c>
      <c r="I88" s="23"/>
      <c r="J88" s="23"/>
      <c r="K88" s="10" t="str">
        <f aca="false">IFERROR(INDEX(Fixture!$I$5:$I$108,MATCH(D88,Fixture!$A$5:$A$108,0))&amp;"-"&amp;INDEX(Fixture!$J$5:$J$108,MATCH(D88,Fixture!$A$5:$A$108,0)),"")</f>
        <v>-</v>
      </c>
      <c r="L88" s="9" t="str">
        <f aca="false">IF(M88&lt;&gt;"FINALIZADO","",IF(OR(ISBLANK(I88),ISBLANK(J88)),0,IF(AND(I88=IFERROR(INDEX(Fixture!$I$5:$I$108,MATCH(D88,Fixture!$A$5:$A$108,0)),"-999"),J88=IFERROR(INDEX(Fixture!$J$5:$J$108,MATCH(D88,Fixture!$A$5:$A$108,0)),"-999")),IFERROR(INDEX(Fases!$C$5:$C$10,MATCH(IFERROR(INDEX(Fixture!$B$5:$B$108,MATCH(D88,Fixture!$A$5:$A$108,0)),0),Fases!$A$5:$A$10,0)),0),IF(OR(AND(I88&gt;J88,IFERROR(INDEX(Fixture!$I$5:$I$108,MATCH(D88,Fixture!$A$5:$A$108,0)),0)&gt;IFERROR(INDEX(Fixture!$J$5:$J$108,MATCH(D88,Fixture!$A$5:$A$108,0)),0)),AND(I88&lt;J88,IFERROR(INDEX(Fixture!$I$5:$I$108,MATCH(D88,Fixture!$A$5:$A$108,0)),0)&lt;IFERROR(INDEX(Fixture!$J$5:$J$108,MATCH(D88,Fixture!$A$5:$A$108,0)),0)),AND(I88=J88,IFERROR(INDEX(Fixture!$I$5:$I$108,MATCH(D88,Fixture!$A$5:$A$108,0)),0)=IFERROR(INDEX(Fixture!$J$5:$J$108,MATCH(D88,Fixture!$A$5:$A$108,0)),0))),IFERROR(INDEX(Fases!$D$5:$D$10,MATCH(IFERROR(INDEX(Fixture!$B$5:$B$108,MATCH(D88,Fixture!$A$5:$A$108,0)),0),Fases!$A$5:$A$10,0)),0),0))))</f>
        <v/>
      </c>
      <c r="M88" s="10" t="str">
        <f aca="false">IFERROR(INDEX(Fixture!$K$5:$K$108,MATCH(D88,Fixture!$A$5:$A$108,0)),"")</f>
        <v>PENDIENTE</v>
      </c>
    </row>
    <row r="89" customFormat="false" ht="15" hidden="false" customHeight="false" outlineLevel="0" collapsed="false">
      <c r="A89" s="11" t="n">
        <v>85</v>
      </c>
      <c r="B89" s="11" t="n">
        <v>1</v>
      </c>
      <c r="C89" s="12" t="str">
        <f aca="false">IFERROR(INDEX(Usuarios!$C$5:$C$200,MATCH(B89,Usuarios!$A$5:$A$200,0)),"")</f>
        <v>carlitos</v>
      </c>
      <c r="D89" s="11" t="n">
        <v>85</v>
      </c>
      <c r="E89" s="12" t="str">
        <f aca="false">IFERROR(INDEX(Fases!$B$5:$B$10,MATCH(INDEX(Fixture!$B$5:$B$108,MATCH(D89,Fixture!$A$5:$A$108,0)),Fases!$A$5:$A$10,0)),"")</f>
        <v>Ronda de 32</v>
      </c>
      <c r="F89" s="12" t="str">
        <f aca="false">IFERROR(INDEX(Fixture!$E$5:$E$108,MATCH(D89,Fixture!$A$5:$A$108,0)),"")</f>
        <v>A definir</v>
      </c>
      <c r="G89" s="12" t="str">
        <f aca="false">IFERROR(INDEX(Fixture!$F$5:$F$108,MATCH(D89,Fixture!$A$5:$A$108,0)),"")</f>
        <v>A definir</v>
      </c>
      <c r="H89" s="20" t="n">
        <f aca="false">IFERROR(INDEX(Fixture!$G$5:$G$108,MATCH(D89,Fixture!$A$5:$A$108,0)),"")</f>
        <v>46203.75</v>
      </c>
      <c r="I89" s="21"/>
      <c r="J89" s="21"/>
      <c r="K89" s="12" t="str">
        <f aca="false">IFERROR(INDEX(Fixture!$I$5:$I$108,MATCH(D89,Fixture!$A$5:$A$108,0))&amp;"-"&amp;INDEX(Fixture!$J$5:$J$108,MATCH(D89,Fixture!$A$5:$A$108,0)),"")</f>
        <v>-</v>
      </c>
      <c r="L89" s="11" t="str">
        <f aca="false">IF(M89&lt;&gt;"FINALIZADO","",IF(OR(ISBLANK(I89),ISBLANK(J89)),0,IF(AND(I89=IFERROR(INDEX(Fixture!$I$5:$I$108,MATCH(D89,Fixture!$A$5:$A$108,0)),"-999"),J89=IFERROR(INDEX(Fixture!$J$5:$J$108,MATCH(D89,Fixture!$A$5:$A$108,0)),"-999")),IFERROR(INDEX(Fases!$C$5:$C$10,MATCH(IFERROR(INDEX(Fixture!$B$5:$B$108,MATCH(D89,Fixture!$A$5:$A$108,0)),0),Fases!$A$5:$A$10,0)),0),IF(OR(AND(I89&gt;J89,IFERROR(INDEX(Fixture!$I$5:$I$108,MATCH(D89,Fixture!$A$5:$A$108,0)),0)&gt;IFERROR(INDEX(Fixture!$J$5:$J$108,MATCH(D89,Fixture!$A$5:$A$108,0)),0)),AND(I89&lt;J89,IFERROR(INDEX(Fixture!$I$5:$I$108,MATCH(D89,Fixture!$A$5:$A$108,0)),0)&lt;IFERROR(INDEX(Fixture!$J$5:$J$108,MATCH(D89,Fixture!$A$5:$A$108,0)),0)),AND(I89=J89,IFERROR(INDEX(Fixture!$I$5:$I$108,MATCH(D89,Fixture!$A$5:$A$108,0)),0)=IFERROR(INDEX(Fixture!$J$5:$J$108,MATCH(D89,Fixture!$A$5:$A$108,0)),0))),IFERROR(INDEX(Fases!$D$5:$D$10,MATCH(IFERROR(INDEX(Fixture!$B$5:$B$108,MATCH(D89,Fixture!$A$5:$A$108,0)),0),Fases!$A$5:$A$10,0)),0),0))))</f>
        <v/>
      </c>
      <c r="M89" s="12" t="str">
        <f aca="false">IFERROR(INDEX(Fixture!$K$5:$K$108,MATCH(D89,Fixture!$A$5:$A$108,0)),"")</f>
        <v>PENDIENTE</v>
      </c>
    </row>
    <row r="90" customFormat="false" ht="15" hidden="false" customHeight="false" outlineLevel="0" collapsed="false">
      <c r="A90" s="9" t="n">
        <v>86</v>
      </c>
      <c r="B90" s="9" t="n">
        <v>1</v>
      </c>
      <c r="C90" s="10" t="str">
        <f aca="false">IFERROR(INDEX(Usuarios!$C$5:$C$200,MATCH(B90,Usuarios!$A$5:$A$200,0)),"")</f>
        <v>carlitos</v>
      </c>
      <c r="D90" s="9" t="n">
        <v>86</v>
      </c>
      <c r="E90" s="10" t="str">
        <f aca="false">IFERROR(INDEX(Fases!$B$5:$B$10,MATCH(INDEX(Fixture!$B$5:$B$108,MATCH(D90,Fixture!$A$5:$A$108,0)),Fases!$A$5:$A$10,0)),"")</f>
        <v>Ronda de 32</v>
      </c>
      <c r="F90" s="10" t="str">
        <f aca="false">IFERROR(INDEX(Fixture!$E$5:$E$108,MATCH(D90,Fixture!$A$5:$A$108,0)),"")</f>
        <v>A definir</v>
      </c>
      <c r="G90" s="10" t="str">
        <f aca="false">IFERROR(INDEX(Fixture!$F$5:$F$108,MATCH(D90,Fixture!$A$5:$A$108,0)),"")</f>
        <v>A definir</v>
      </c>
      <c r="H90" s="22" t="n">
        <f aca="false">IFERROR(INDEX(Fixture!$G$5:$G$108,MATCH(D90,Fixture!$A$5:$A$108,0)),"")</f>
        <v>46203.75</v>
      </c>
      <c r="I90" s="23"/>
      <c r="J90" s="23"/>
      <c r="K90" s="10" t="str">
        <f aca="false">IFERROR(INDEX(Fixture!$I$5:$I$108,MATCH(D90,Fixture!$A$5:$A$108,0))&amp;"-"&amp;INDEX(Fixture!$J$5:$J$108,MATCH(D90,Fixture!$A$5:$A$108,0)),"")</f>
        <v>-</v>
      </c>
      <c r="L90" s="9" t="str">
        <f aca="false">IF(M90&lt;&gt;"FINALIZADO","",IF(OR(ISBLANK(I90),ISBLANK(J90)),0,IF(AND(I90=IFERROR(INDEX(Fixture!$I$5:$I$108,MATCH(D90,Fixture!$A$5:$A$108,0)),"-999"),J90=IFERROR(INDEX(Fixture!$J$5:$J$108,MATCH(D90,Fixture!$A$5:$A$108,0)),"-999")),IFERROR(INDEX(Fases!$C$5:$C$10,MATCH(IFERROR(INDEX(Fixture!$B$5:$B$108,MATCH(D90,Fixture!$A$5:$A$108,0)),0),Fases!$A$5:$A$10,0)),0),IF(OR(AND(I90&gt;J90,IFERROR(INDEX(Fixture!$I$5:$I$108,MATCH(D90,Fixture!$A$5:$A$108,0)),0)&gt;IFERROR(INDEX(Fixture!$J$5:$J$108,MATCH(D90,Fixture!$A$5:$A$108,0)),0)),AND(I90&lt;J90,IFERROR(INDEX(Fixture!$I$5:$I$108,MATCH(D90,Fixture!$A$5:$A$108,0)),0)&lt;IFERROR(INDEX(Fixture!$J$5:$J$108,MATCH(D90,Fixture!$A$5:$A$108,0)),0)),AND(I90=J90,IFERROR(INDEX(Fixture!$I$5:$I$108,MATCH(D90,Fixture!$A$5:$A$108,0)),0)=IFERROR(INDEX(Fixture!$J$5:$J$108,MATCH(D90,Fixture!$A$5:$A$108,0)),0))),IFERROR(INDEX(Fases!$D$5:$D$10,MATCH(IFERROR(INDEX(Fixture!$B$5:$B$108,MATCH(D90,Fixture!$A$5:$A$108,0)),0),Fases!$A$5:$A$10,0)),0),0))))</f>
        <v/>
      </c>
      <c r="M90" s="10" t="str">
        <f aca="false">IFERROR(INDEX(Fixture!$K$5:$K$108,MATCH(D90,Fixture!$A$5:$A$108,0)),"")</f>
        <v>PENDIENTE</v>
      </c>
    </row>
    <row r="91" customFormat="false" ht="15" hidden="false" customHeight="false" outlineLevel="0" collapsed="false">
      <c r="A91" s="11" t="n">
        <v>87</v>
      </c>
      <c r="B91" s="11" t="n">
        <v>1</v>
      </c>
      <c r="C91" s="12" t="str">
        <f aca="false">IFERROR(INDEX(Usuarios!$C$5:$C$200,MATCH(B91,Usuarios!$A$5:$A$200,0)),"")</f>
        <v>carlitos</v>
      </c>
      <c r="D91" s="11" t="n">
        <v>87</v>
      </c>
      <c r="E91" s="12" t="str">
        <f aca="false">IFERROR(INDEX(Fases!$B$5:$B$10,MATCH(INDEX(Fixture!$B$5:$B$108,MATCH(D91,Fixture!$A$5:$A$108,0)),Fases!$A$5:$A$10,0)),"")</f>
        <v>Ronda de 32</v>
      </c>
      <c r="F91" s="12" t="str">
        <f aca="false">IFERROR(INDEX(Fixture!$E$5:$E$108,MATCH(D91,Fixture!$A$5:$A$108,0)),"")</f>
        <v>A definir</v>
      </c>
      <c r="G91" s="12" t="str">
        <f aca="false">IFERROR(INDEX(Fixture!$F$5:$F$108,MATCH(D91,Fixture!$A$5:$A$108,0)),"")</f>
        <v>A definir</v>
      </c>
      <c r="H91" s="20" t="n">
        <f aca="false">IFERROR(INDEX(Fixture!$G$5:$G$108,MATCH(D91,Fixture!$A$5:$A$108,0)),"")</f>
        <v>46203.75</v>
      </c>
      <c r="I91" s="21"/>
      <c r="J91" s="21"/>
      <c r="K91" s="12" t="str">
        <f aca="false">IFERROR(INDEX(Fixture!$I$5:$I$108,MATCH(D91,Fixture!$A$5:$A$108,0))&amp;"-"&amp;INDEX(Fixture!$J$5:$J$108,MATCH(D91,Fixture!$A$5:$A$108,0)),"")</f>
        <v>-</v>
      </c>
      <c r="L91" s="11" t="str">
        <f aca="false">IF(M91&lt;&gt;"FINALIZADO","",IF(OR(ISBLANK(I91),ISBLANK(J91)),0,IF(AND(I91=IFERROR(INDEX(Fixture!$I$5:$I$108,MATCH(D91,Fixture!$A$5:$A$108,0)),"-999"),J91=IFERROR(INDEX(Fixture!$J$5:$J$108,MATCH(D91,Fixture!$A$5:$A$108,0)),"-999")),IFERROR(INDEX(Fases!$C$5:$C$10,MATCH(IFERROR(INDEX(Fixture!$B$5:$B$108,MATCH(D91,Fixture!$A$5:$A$108,0)),0),Fases!$A$5:$A$10,0)),0),IF(OR(AND(I91&gt;J91,IFERROR(INDEX(Fixture!$I$5:$I$108,MATCH(D91,Fixture!$A$5:$A$108,0)),0)&gt;IFERROR(INDEX(Fixture!$J$5:$J$108,MATCH(D91,Fixture!$A$5:$A$108,0)),0)),AND(I91&lt;J91,IFERROR(INDEX(Fixture!$I$5:$I$108,MATCH(D91,Fixture!$A$5:$A$108,0)),0)&lt;IFERROR(INDEX(Fixture!$J$5:$J$108,MATCH(D91,Fixture!$A$5:$A$108,0)),0)),AND(I91=J91,IFERROR(INDEX(Fixture!$I$5:$I$108,MATCH(D91,Fixture!$A$5:$A$108,0)),0)=IFERROR(INDEX(Fixture!$J$5:$J$108,MATCH(D91,Fixture!$A$5:$A$108,0)),0))),IFERROR(INDEX(Fases!$D$5:$D$10,MATCH(IFERROR(INDEX(Fixture!$B$5:$B$108,MATCH(D91,Fixture!$A$5:$A$108,0)),0),Fases!$A$5:$A$10,0)),0),0))))</f>
        <v/>
      </c>
      <c r="M91" s="12" t="str">
        <f aca="false">IFERROR(INDEX(Fixture!$K$5:$K$108,MATCH(D91,Fixture!$A$5:$A$108,0)),"")</f>
        <v>PENDIENTE</v>
      </c>
    </row>
    <row r="92" customFormat="false" ht="15" hidden="false" customHeight="false" outlineLevel="0" collapsed="false">
      <c r="A92" s="9" t="n">
        <v>88</v>
      </c>
      <c r="B92" s="9" t="n">
        <v>1</v>
      </c>
      <c r="C92" s="10" t="str">
        <f aca="false">IFERROR(INDEX(Usuarios!$C$5:$C$200,MATCH(B92,Usuarios!$A$5:$A$200,0)),"")</f>
        <v>carlitos</v>
      </c>
      <c r="D92" s="9" t="n">
        <v>88</v>
      </c>
      <c r="E92" s="10" t="str">
        <f aca="false">IFERROR(INDEX(Fases!$B$5:$B$10,MATCH(INDEX(Fixture!$B$5:$B$108,MATCH(D92,Fixture!$A$5:$A$108,0)),Fases!$A$5:$A$10,0)),"")</f>
        <v>Ronda de 32</v>
      </c>
      <c r="F92" s="10" t="str">
        <f aca="false">IFERROR(INDEX(Fixture!$E$5:$E$108,MATCH(D92,Fixture!$A$5:$A$108,0)),"")</f>
        <v>A definir</v>
      </c>
      <c r="G92" s="10" t="str">
        <f aca="false">IFERROR(INDEX(Fixture!$F$5:$F$108,MATCH(D92,Fixture!$A$5:$A$108,0)),"")</f>
        <v>A definir</v>
      </c>
      <c r="H92" s="22" t="n">
        <f aca="false">IFERROR(INDEX(Fixture!$G$5:$G$108,MATCH(D92,Fixture!$A$5:$A$108,0)),"")</f>
        <v>46203.75</v>
      </c>
      <c r="I92" s="23"/>
      <c r="J92" s="23"/>
      <c r="K92" s="10" t="str">
        <f aca="false">IFERROR(INDEX(Fixture!$I$5:$I$108,MATCH(D92,Fixture!$A$5:$A$108,0))&amp;"-"&amp;INDEX(Fixture!$J$5:$J$108,MATCH(D92,Fixture!$A$5:$A$108,0)),"")</f>
        <v>-</v>
      </c>
      <c r="L92" s="9" t="str">
        <f aca="false">IF(M92&lt;&gt;"FINALIZADO","",IF(OR(ISBLANK(I92),ISBLANK(J92)),0,IF(AND(I92=IFERROR(INDEX(Fixture!$I$5:$I$108,MATCH(D92,Fixture!$A$5:$A$108,0)),"-999"),J92=IFERROR(INDEX(Fixture!$J$5:$J$108,MATCH(D92,Fixture!$A$5:$A$108,0)),"-999")),IFERROR(INDEX(Fases!$C$5:$C$10,MATCH(IFERROR(INDEX(Fixture!$B$5:$B$108,MATCH(D92,Fixture!$A$5:$A$108,0)),0),Fases!$A$5:$A$10,0)),0),IF(OR(AND(I92&gt;J92,IFERROR(INDEX(Fixture!$I$5:$I$108,MATCH(D92,Fixture!$A$5:$A$108,0)),0)&gt;IFERROR(INDEX(Fixture!$J$5:$J$108,MATCH(D92,Fixture!$A$5:$A$108,0)),0)),AND(I92&lt;J92,IFERROR(INDEX(Fixture!$I$5:$I$108,MATCH(D92,Fixture!$A$5:$A$108,0)),0)&lt;IFERROR(INDEX(Fixture!$J$5:$J$108,MATCH(D92,Fixture!$A$5:$A$108,0)),0)),AND(I92=J92,IFERROR(INDEX(Fixture!$I$5:$I$108,MATCH(D92,Fixture!$A$5:$A$108,0)),0)=IFERROR(INDEX(Fixture!$J$5:$J$108,MATCH(D92,Fixture!$A$5:$A$108,0)),0))),IFERROR(INDEX(Fases!$D$5:$D$10,MATCH(IFERROR(INDEX(Fixture!$B$5:$B$108,MATCH(D92,Fixture!$A$5:$A$108,0)),0),Fases!$A$5:$A$10,0)),0),0))))</f>
        <v/>
      </c>
      <c r="M92" s="10" t="str">
        <f aca="false">IFERROR(INDEX(Fixture!$K$5:$K$108,MATCH(D92,Fixture!$A$5:$A$108,0)),"")</f>
        <v>PENDIENTE</v>
      </c>
    </row>
    <row r="93" customFormat="false" ht="15" hidden="false" customHeight="false" outlineLevel="0" collapsed="false">
      <c r="A93" s="11" t="n">
        <v>89</v>
      </c>
      <c r="B93" s="11" t="n">
        <v>1</v>
      </c>
      <c r="C93" s="12" t="str">
        <f aca="false">IFERROR(INDEX(Usuarios!$C$5:$C$200,MATCH(B93,Usuarios!$A$5:$A$200,0)),"")</f>
        <v>carlitos</v>
      </c>
      <c r="D93" s="11" t="n">
        <v>89</v>
      </c>
      <c r="E93" s="12" t="str">
        <f aca="false">IFERROR(INDEX(Fases!$B$5:$B$10,MATCH(INDEX(Fixture!$B$5:$B$108,MATCH(D93,Fixture!$A$5:$A$108,0)),Fases!$A$5:$A$10,0)),"")</f>
        <v>Octavos</v>
      </c>
      <c r="F93" s="12" t="str">
        <f aca="false">IFERROR(INDEX(Fixture!$E$5:$E$108,MATCH(D93,Fixture!$A$5:$A$108,0)),"")</f>
        <v>A definir</v>
      </c>
      <c r="G93" s="12" t="str">
        <f aca="false">IFERROR(INDEX(Fixture!$F$5:$F$108,MATCH(D93,Fixture!$A$5:$A$108,0)),"")</f>
        <v>A definir</v>
      </c>
      <c r="H93" s="20" t="n">
        <f aca="false">IFERROR(INDEX(Fixture!$G$5:$G$108,MATCH(D93,Fixture!$A$5:$A$108,0)),"")</f>
        <v>46206.75</v>
      </c>
      <c r="I93" s="21"/>
      <c r="J93" s="21"/>
      <c r="K93" s="12" t="str">
        <f aca="false">IFERROR(INDEX(Fixture!$I$5:$I$108,MATCH(D93,Fixture!$A$5:$A$108,0))&amp;"-"&amp;INDEX(Fixture!$J$5:$J$108,MATCH(D93,Fixture!$A$5:$A$108,0)),"")</f>
        <v>-</v>
      </c>
      <c r="L93" s="11" t="str">
        <f aca="false">IF(M93&lt;&gt;"FINALIZADO","",IF(OR(ISBLANK(I93),ISBLANK(J93)),0,IF(AND(I93=IFERROR(INDEX(Fixture!$I$5:$I$108,MATCH(D93,Fixture!$A$5:$A$108,0)),"-999"),J93=IFERROR(INDEX(Fixture!$J$5:$J$108,MATCH(D93,Fixture!$A$5:$A$108,0)),"-999")),IFERROR(INDEX(Fases!$C$5:$C$10,MATCH(IFERROR(INDEX(Fixture!$B$5:$B$108,MATCH(D93,Fixture!$A$5:$A$108,0)),0),Fases!$A$5:$A$10,0)),0),IF(OR(AND(I93&gt;J93,IFERROR(INDEX(Fixture!$I$5:$I$108,MATCH(D93,Fixture!$A$5:$A$108,0)),0)&gt;IFERROR(INDEX(Fixture!$J$5:$J$108,MATCH(D93,Fixture!$A$5:$A$108,0)),0)),AND(I93&lt;J93,IFERROR(INDEX(Fixture!$I$5:$I$108,MATCH(D93,Fixture!$A$5:$A$108,0)),0)&lt;IFERROR(INDEX(Fixture!$J$5:$J$108,MATCH(D93,Fixture!$A$5:$A$108,0)),0)),AND(I93=J93,IFERROR(INDEX(Fixture!$I$5:$I$108,MATCH(D93,Fixture!$A$5:$A$108,0)),0)=IFERROR(INDEX(Fixture!$J$5:$J$108,MATCH(D93,Fixture!$A$5:$A$108,0)),0))),IFERROR(INDEX(Fases!$D$5:$D$10,MATCH(IFERROR(INDEX(Fixture!$B$5:$B$108,MATCH(D93,Fixture!$A$5:$A$108,0)),0),Fases!$A$5:$A$10,0)),0),0))))</f>
        <v/>
      </c>
      <c r="M93" s="12" t="str">
        <f aca="false">IFERROR(INDEX(Fixture!$K$5:$K$108,MATCH(D93,Fixture!$A$5:$A$108,0)),"")</f>
        <v>PENDIENTE</v>
      </c>
    </row>
    <row r="94" customFormat="false" ht="15" hidden="false" customHeight="false" outlineLevel="0" collapsed="false">
      <c r="A94" s="9" t="n">
        <v>90</v>
      </c>
      <c r="B94" s="9" t="n">
        <v>1</v>
      </c>
      <c r="C94" s="10" t="str">
        <f aca="false">IFERROR(INDEX(Usuarios!$C$5:$C$200,MATCH(B94,Usuarios!$A$5:$A$200,0)),"")</f>
        <v>carlitos</v>
      </c>
      <c r="D94" s="9" t="n">
        <v>90</v>
      </c>
      <c r="E94" s="10" t="str">
        <f aca="false">IFERROR(INDEX(Fases!$B$5:$B$10,MATCH(INDEX(Fixture!$B$5:$B$108,MATCH(D94,Fixture!$A$5:$A$108,0)),Fases!$A$5:$A$10,0)),"")</f>
        <v>Octavos</v>
      </c>
      <c r="F94" s="10" t="str">
        <f aca="false">IFERROR(INDEX(Fixture!$E$5:$E$108,MATCH(D94,Fixture!$A$5:$A$108,0)),"")</f>
        <v>A definir</v>
      </c>
      <c r="G94" s="10" t="str">
        <f aca="false">IFERROR(INDEX(Fixture!$F$5:$F$108,MATCH(D94,Fixture!$A$5:$A$108,0)),"")</f>
        <v>A definir</v>
      </c>
      <c r="H94" s="22" t="n">
        <f aca="false">IFERROR(INDEX(Fixture!$G$5:$G$108,MATCH(D94,Fixture!$A$5:$A$108,0)),"")</f>
        <v>46206.75</v>
      </c>
      <c r="I94" s="23"/>
      <c r="J94" s="23"/>
      <c r="K94" s="10" t="str">
        <f aca="false">IFERROR(INDEX(Fixture!$I$5:$I$108,MATCH(D94,Fixture!$A$5:$A$108,0))&amp;"-"&amp;INDEX(Fixture!$J$5:$J$108,MATCH(D94,Fixture!$A$5:$A$108,0)),"")</f>
        <v>-</v>
      </c>
      <c r="L94" s="9" t="str">
        <f aca="false">IF(M94&lt;&gt;"FINALIZADO","",IF(OR(ISBLANK(I94),ISBLANK(J94)),0,IF(AND(I94=IFERROR(INDEX(Fixture!$I$5:$I$108,MATCH(D94,Fixture!$A$5:$A$108,0)),"-999"),J94=IFERROR(INDEX(Fixture!$J$5:$J$108,MATCH(D94,Fixture!$A$5:$A$108,0)),"-999")),IFERROR(INDEX(Fases!$C$5:$C$10,MATCH(IFERROR(INDEX(Fixture!$B$5:$B$108,MATCH(D94,Fixture!$A$5:$A$108,0)),0),Fases!$A$5:$A$10,0)),0),IF(OR(AND(I94&gt;J94,IFERROR(INDEX(Fixture!$I$5:$I$108,MATCH(D94,Fixture!$A$5:$A$108,0)),0)&gt;IFERROR(INDEX(Fixture!$J$5:$J$108,MATCH(D94,Fixture!$A$5:$A$108,0)),0)),AND(I94&lt;J94,IFERROR(INDEX(Fixture!$I$5:$I$108,MATCH(D94,Fixture!$A$5:$A$108,0)),0)&lt;IFERROR(INDEX(Fixture!$J$5:$J$108,MATCH(D94,Fixture!$A$5:$A$108,0)),0)),AND(I94=J94,IFERROR(INDEX(Fixture!$I$5:$I$108,MATCH(D94,Fixture!$A$5:$A$108,0)),0)=IFERROR(INDEX(Fixture!$J$5:$J$108,MATCH(D94,Fixture!$A$5:$A$108,0)),0))),IFERROR(INDEX(Fases!$D$5:$D$10,MATCH(IFERROR(INDEX(Fixture!$B$5:$B$108,MATCH(D94,Fixture!$A$5:$A$108,0)),0),Fases!$A$5:$A$10,0)),0),0))))</f>
        <v/>
      </c>
      <c r="M94" s="10" t="str">
        <f aca="false">IFERROR(INDEX(Fixture!$K$5:$K$108,MATCH(D94,Fixture!$A$5:$A$108,0)),"")</f>
        <v>PENDIENTE</v>
      </c>
    </row>
    <row r="95" customFormat="false" ht="15" hidden="false" customHeight="false" outlineLevel="0" collapsed="false">
      <c r="A95" s="11" t="n">
        <v>91</v>
      </c>
      <c r="B95" s="11" t="n">
        <v>1</v>
      </c>
      <c r="C95" s="12" t="str">
        <f aca="false">IFERROR(INDEX(Usuarios!$C$5:$C$200,MATCH(B95,Usuarios!$A$5:$A$200,0)),"")</f>
        <v>carlitos</v>
      </c>
      <c r="D95" s="11" t="n">
        <v>91</v>
      </c>
      <c r="E95" s="12" t="str">
        <f aca="false">IFERROR(INDEX(Fases!$B$5:$B$10,MATCH(INDEX(Fixture!$B$5:$B$108,MATCH(D95,Fixture!$A$5:$A$108,0)),Fases!$A$5:$A$10,0)),"")</f>
        <v>Octavos</v>
      </c>
      <c r="F95" s="12" t="str">
        <f aca="false">IFERROR(INDEX(Fixture!$E$5:$E$108,MATCH(D95,Fixture!$A$5:$A$108,0)),"")</f>
        <v>A definir</v>
      </c>
      <c r="G95" s="12" t="str">
        <f aca="false">IFERROR(INDEX(Fixture!$F$5:$F$108,MATCH(D95,Fixture!$A$5:$A$108,0)),"")</f>
        <v>A definir</v>
      </c>
      <c r="H95" s="20" t="n">
        <f aca="false">IFERROR(INDEX(Fixture!$G$5:$G$108,MATCH(D95,Fixture!$A$5:$A$108,0)),"")</f>
        <v>46207.75</v>
      </c>
      <c r="I95" s="21"/>
      <c r="J95" s="21"/>
      <c r="K95" s="12" t="str">
        <f aca="false">IFERROR(INDEX(Fixture!$I$5:$I$108,MATCH(D95,Fixture!$A$5:$A$108,0))&amp;"-"&amp;INDEX(Fixture!$J$5:$J$108,MATCH(D95,Fixture!$A$5:$A$108,0)),"")</f>
        <v>-</v>
      </c>
      <c r="L95" s="11" t="str">
        <f aca="false">IF(M95&lt;&gt;"FINALIZADO","",IF(OR(ISBLANK(I95),ISBLANK(J95)),0,IF(AND(I95=IFERROR(INDEX(Fixture!$I$5:$I$108,MATCH(D95,Fixture!$A$5:$A$108,0)),"-999"),J95=IFERROR(INDEX(Fixture!$J$5:$J$108,MATCH(D95,Fixture!$A$5:$A$108,0)),"-999")),IFERROR(INDEX(Fases!$C$5:$C$10,MATCH(IFERROR(INDEX(Fixture!$B$5:$B$108,MATCH(D95,Fixture!$A$5:$A$108,0)),0),Fases!$A$5:$A$10,0)),0),IF(OR(AND(I95&gt;J95,IFERROR(INDEX(Fixture!$I$5:$I$108,MATCH(D95,Fixture!$A$5:$A$108,0)),0)&gt;IFERROR(INDEX(Fixture!$J$5:$J$108,MATCH(D95,Fixture!$A$5:$A$108,0)),0)),AND(I95&lt;J95,IFERROR(INDEX(Fixture!$I$5:$I$108,MATCH(D95,Fixture!$A$5:$A$108,0)),0)&lt;IFERROR(INDEX(Fixture!$J$5:$J$108,MATCH(D95,Fixture!$A$5:$A$108,0)),0)),AND(I95=J95,IFERROR(INDEX(Fixture!$I$5:$I$108,MATCH(D95,Fixture!$A$5:$A$108,0)),0)=IFERROR(INDEX(Fixture!$J$5:$J$108,MATCH(D95,Fixture!$A$5:$A$108,0)),0))),IFERROR(INDEX(Fases!$D$5:$D$10,MATCH(IFERROR(INDEX(Fixture!$B$5:$B$108,MATCH(D95,Fixture!$A$5:$A$108,0)),0),Fases!$A$5:$A$10,0)),0),0))))</f>
        <v/>
      </c>
      <c r="M95" s="12" t="str">
        <f aca="false">IFERROR(INDEX(Fixture!$K$5:$K$108,MATCH(D95,Fixture!$A$5:$A$108,0)),"")</f>
        <v>PENDIENTE</v>
      </c>
    </row>
    <row r="96" customFormat="false" ht="15" hidden="false" customHeight="false" outlineLevel="0" collapsed="false">
      <c r="A96" s="9" t="n">
        <v>92</v>
      </c>
      <c r="B96" s="9" t="n">
        <v>1</v>
      </c>
      <c r="C96" s="10" t="str">
        <f aca="false">IFERROR(INDEX(Usuarios!$C$5:$C$200,MATCH(B96,Usuarios!$A$5:$A$200,0)),"")</f>
        <v>carlitos</v>
      </c>
      <c r="D96" s="9" t="n">
        <v>92</v>
      </c>
      <c r="E96" s="10" t="str">
        <f aca="false">IFERROR(INDEX(Fases!$B$5:$B$10,MATCH(INDEX(Fixture!$B$5:$B$108,MATCH(D96,Fixture!$A$5:$A$108,0)),Fases!$A$5:$A$10,0)),"")</f>
        <v>Octavos</v>
      </c>
      <c r="F96" s="10" t="str">
        <f aca="false">IFERROR(INDEX(Fixture!$E$5:$E$108,MATCH(D96,Fixture!$A$5:$A$108,0)),"")</f>
        <v>A definir</v>
      </c>
      <c r="G96" s="10" t="str">
        <f aca="false">IFERROR(INDEX(Fixture!$F$5:$F$108,MATCH(D96,Fixture!$A$5:$A$108,0)),"")</f>
        <v>A definir</v>
      </c>
      <c r="H96" s="22" t="n">
        <f aca="false">IFERROR(INDEX(Fixture!$G$5:$G$108,MATCH(D96,Fixture!$A$5:$A$108,0)),"")</f>
        <v>46207.75</v>
      </c>
      <c r="I96" s="23"/>
      <c r="J96" s="23"/>
      <c r="K96" s="10" t="str">
        <f aca="false">IFERROR(INDEX(Fixture!$I$5:$I$108,MATCH(D96,Fixture!$A$5:$A$108,0))&amp;"-"&amp;INDEX(Fixture!$J$5:$J$108,MATCH(D96,Fixture!$A$5:$A$108,0)),"")</f>
        <v>-</v>
      </c>
      <c r="L96" s="9" t="str">
        <f aca="false">IF(M96&lt;&gt;"FINALIZADO","",IF(OR(ISBLANK(I96),ISBLANK(J96)),0,IF(AND(I96=IFERROR(INDEX(Fixture!$I$5:$I$108,MATCH(D96,Fixture!$A$5:$A$108,0)),"-999"),J96=IFERROR(INDEX(Fixture!$J$5:$J$108,MATCH(D96,Fixture!$A$5:$A$108,0)),"-999")),IFERROR(INDEX(Fases!$C$5:$C$10,MATCH(IFERROR(INDEX(Fixture!$B$5:$B$108,MATCH(D96,Fixture!$A$5:$A$108,0)),0),Fases!$A$5:$A$10,0)),0),IF(OR(AND(I96&gt;J96,IFERROR(INDEX(Fixture!$I$5:$I$108,MATCH(D96,Fixture!$A$5:$A$108,0)),0)&gt;IFERROR(INDEX(Fixture!$J$5:$J$108,MATCH(D96,Fixture!$A$5:$A$108,0)),0)),AND(I96&lt;J96,IFERROR(INDEX(Fixture!$I$5:$I$108,MATCH(D96,Fixture!$A$5:$A$108,0)),0)&lt;IFERROR(INDEX(Fixture!$J$5:$J$108,MATCH(D96,Fixture!$A$5:$A$108,0)),0)),AND(I96=J96,IFERROR(INDEX(Fixture!$I$5:$I$108,MATCH(D96,Fixture!$A$5:$A$108,0)),0)=IFERROR(INDEX(Fixture!$J$5:$J$108,MATCH(D96,Fixture!$A$5:$A$108,0)),0))),IFERROR(INDEX(Fases!$D$5:$D$10,MATCH(IFERROR(INDEX(Fixture!$B$5:$B$108,MATCH(D96,Fixture!$A$5:$A$108,0)),0),Fases!$A$5:$A$10,0)),0),0))))</f>
        <v/>
      </c>
      <c r="M96" s="10" t="str">
        <f aca="false">IFERROR(INDEX(Fixture!$K$5:$K$108,MATCH(D96,Fixture!$A$5:$A$108,0)),"")</f>
        <v>PENDIENTE</v>
      </c>
    </row>
    <row r="97" customFormat="false" ht="15" hidden="false" customHeight="false" outlineLevel="0" collapsed="false">
      <c r="A97" s="11" t="n">
        <v>93</v>
      </c>
      <c r="B97" s="11" t="n">
        <v>1</v>
      </c>
      <c r="C97" s="12" t="str">
        <f aca="false">IFERROR(INDEX(Usuarios!$C$5:$C$200,MATCH(B97,Usuarios!$A$5:$A$200,0)),"")</f>
        <v>carlitos</v>
      </c>
      <c r="D97" s="11" t="n">
        <v>93</v>
      </c>
      <c r="E97" s="12" t="str">
        <f aca="false">IFERROR(INDEX(Fases!$B$5:$B$10,MATCH(INDEX(Fixture!$B$5:$B$108,MATCH(D97,Fixture!$A$5:$A$108,0)),Fases!$A$5:$A$10,0)),"")</f>
        <v>Octavos</v>
      </c>
      <c r="F97" s="12" t="str">
        <f aca="false">IFERROR(INDEX(Fixture!$E$5:$E$108,MATCH(D97,Fixture!$A$5:$A$108,0)),"")</f>
        <v>A definir</v>
      </c>
      <c r="G97" s="12" t="str">
        <f aca="false">IFERROR(INDEX(Fixture!$F$5:$F$108,MATCH(D97,Fixture!$A$5:$A$108,0)),"")</f>
        <v>A definir</v>
      </c>
      <c r="H97" s="20" t="n">
        <f aca="false">IFERROR(INDEX(Fixture!$G$5:$G$108,MATCH(D97,Fixture!$A$5:$A$108,0)),"")</f>
        <v>46208.75</v>
      </c>
      <c r="I97" s="21"/>
      <c r="J97" s="21"/>
      <c r="K97" s="12" t="str">
        <f aca="false">IFERROR(INDEX(Fixture!$I$5:$I$108,MATCH(D97,Fixture!$A$5:$A$108,0))&amp;"-"&amp;INDEX(Fixture!$J$5:$J$108,MATCH(D97,Fixture!$A$5:$A$108,0)),"")</f>
        <v>-</v>
      </c>
      <c r="L97" s="11" t="str">
        <f aca="false">IF(M97&lt;&gt;"FINALIZADO","",IF(OR(ISBLANK(I97),ISBLANK(J97)),0,IF(AND(I97=IFERROR(INDEX(Fixture!$I$5:$I$108,MATCH(D97,Fixture!$A$5:$A$108,0)),"-999"),J97=IFERROR(INDEX(Fixture!$J$5:$J$108,MATCH(D97,Fixture!$A$5:$A$108,0)),"-999")),IFERROR(INDEX(Fases!$C$5:$C$10,MATCH(IFERROR(INDEX(Fixture!$B$5:$B$108,MATCH(D97,Fixture!$A$5:$A$108,0)),0),Fases!$A$5:$A$10,0)),0),IF(OR(AND(I97&gt;J97,IFERROR(INDEX(Fixture!$I$5:$I$108,MATCH(D97,Fixture!$A$5:$A$108,0)),0)&gt;IFERROR(INDEX(Fixture!$J$5:$J$108,MATCH(D97,Fixture!$A$5:$A$108,0)),0)),AND(I97&lt;J97,IFERROR(INDEX(Fixture!$I$5:$I$108,MATCH(D97,Fixture!$A$5:$A$108,0)),0)&lt;IFERROR(INDEX(Fixture!$J$5:$J$108,MATCH(D97,Fixture!$A$5:$A$108,0)),0)),AND(I97=J97,IFERROR(INDEX(Fixture!$I$5:$I$108,MATCH(D97,Fixture!$A$5:$A$108,0)),0)=IFERROR(INDEX(Fixture!$J$5:$J$108,MATCH(D97,Fixture!$A$5:$A$108,0)),0))),IFERROR(INDEX(Fases!$D$5:$D$10,MATCH(IFERROR(INDEX(Fixture!$B$5:$B$108,MATCH(D97,Fixture!$A$5:$A$108,0)),0),Fases!$A$5:$A$10,0)),0),0))))</f>
        <v/>
      </c>
      <c r="M97" s="12" t="str">
        <f aca="false">IFERROR(INDEX(Fixture!$K$5:$K$108,MATCH(D97,Fixture!$A$5:$A$108,0)),"")</f>
        <v>PENDIENTE</v>
      </c>
    </row>
    <row r="98" customFormat="false" ht="15" hidden="false" customHeight="false" outlineLevel="0" collapsed="false">
      <c r="A98" s="9" t="n">
        <v>94</v>
      </c>
      <c r="B98" s="9" t="n">
        <v>1</v>
      </c>
      <c r="C98" s="10" t="str">
        <f aca="false">IFERROR(INDEX(Usuarios!$C$5:$C$200,MATCH(B98,Usuarios!$A$5:$A$200,0)),"")</f>
        <v>carlitos</v>
      </c>
      <c r="D98" s="9" t="n">
        <v>94</v>
      </c>
      <c r="E98" s="10" t="str">
        <f aca="false">IFERROR(INDEX(Fases!$B$5:$B$10,MATCH(INDEX(Fixture!$B$5:$B$108,MATCH(D98,Fixture!$A$5:$A$108,0)),Fases!$A$5:$A$10,0)),"")</f>
        <v>Octavos</v>
      </c>
      <c r="F98" s="10" t="str">
        <f aca="false">IFERROR(INDEX(Fixture!$E$5:$E$108,MATCH(D98,Fixture!$A$5:$A$108,0)),"")</f>
        <v>A definir</v>
      </c>
      <c r="G98" s="10" t="str">
        <f aca="false">IFERROR(INDEX(Fixture!$F$5:$F$108,MATCH(D98,Fixture!$A$5:$A$108,0)),"")</f>
        <v>A definir</v>
      </c>
      <c r="H98" s="22" t="n">
        <f aca="false">IFERROR(INDEX(Fixture!$G$5:$G$108,MATCH(D98,Fixture!$A$5:$A$108,0)),"")</f>
        <v>46208.75</v>
      </c>
      <c r="I98" s="23"/>
      <c r="J98" s="23"/>
      <c r="K98" s="10" t="str">
        <f aca="false">IFERROR(INDEX(Fixture!$I$5:$I$108,MATCH(D98,Fixture!$A$5:$A$108,0))&amp;"-"&amp;INDEX(Fixture!$J$5:$J$108,MATCH(D98,Fixture!$A$5:$A$108,0)),"")</f>
        <v>-</v>
      </c>
      <c r="L98" s="9" t="str">
        <f aca="false">IF(M98&lt;&gt;"FINALIZADO","",IF(OR(ISBLANK(I98),ISBLANK(J98)),0,IF(AND(I98=IFERROR(INDEX(Fixture!$I$5:$I$108,MATCH(D98,Fixture!$A$5:$A$108,0)),"-999"),J98=IFERROR(INDEX(Fixture!$J$5:$J$108,MATCH(D98,Fixture!$A$5:$A$108,0)),"-999")),IFERROR(INDEX(Fases!$C$5:$C$10,MATCH(IFERROR(INDEX(Fixture!$B$5:$B$108,MATCH(D98,Fixture!$A$5:$A$108,0)),0),Fases!$A$5:$A$10,0)),0),IF(OR(AND(I98&gt;J98,IFERROR(INDEX(Fixture!$I$5:$I$108,MATCH(D98,Fixture!$A$5:$A$108,0)),0)&gt;IFERROR(INDEX(Fixture!$J$5:$J$108,MATCH(D98,Fixture!$A$5:$A$108,0)),0)),AND(I98&lt;J98,IFERROR(INDEX(Fixture!$I$5:$I$108,MATCH(D98,Fixture!$A$5:$A$108,0)),0)&lt;IFERROR(INDEX(Fixture!$J$5:$J$108,MATCH(D98,Fixture!$A$5:$A$108,0)),0)),AND(I98=J98,IFERROR(INDEX(Fixture!$I$5:$I$108,MATCH(D98,Fixture!$A$5:$A$108,0)),0)=IFERROR(INDEX(Fixture!$J$5:$J$108,MATCH(D98,Fixture!$A$5:$A$108,0)),0))),IFERROR(INDEX(Fases!$D$5:$D$10,MATCH(IFERROR(INDEX(Fixture!$B$5:$B$108,MATCH(D98,Fixture!$A$5:$A$108,0)),0),Fases!$A$5:$A$10,0)),0),0))))</f>
        <v/>
      </c>
      <c r="M98" s="10" t="str">
        <f aca="false">IFERROR(INDEX(Fixture!$K$5:$K$108,MATCH(D98,Fixture!$A$5:$A$108,0)),"")</f>
        <v>PENDIENTE</v>
      </c>
    </row>
    <row r="99" customFormat="false" ht="15" hidden="false" customHeight="false" outlineLevel="0" collapsed="false">
      <c r="A99" s="11" t="n">
        <v>95</v>
      </c>
      <c r="B99" s="11" t="n">
        <v>1</v>
      </c>
      <c r="C99" s="12" t="str">
        <f aca="false">IFERROR(INDEX(Usuarios!$C$5:$C$200,MATCH(B99,Usuarios!$A$5:$A$200,0)),"")</f>
        <v>carlitos</v>
      </c>
      <c r="D99" s="11" t="n">
        <v>95</v>
      </c>
      <c r="E99" s="12" t="str">
        <f aca="false">IFERROR(INDEX(Fases!$B$5:$B$10,MATCH(INDEX(Fixture!$B$5:$B$108,MATCH(D99,Fixture!$A$5:$A$108,0)),Fases!$A$5:$A$10,0)),"")</f>
        <v>Octavos</v>
      </c>
      <c r="F99" s="12" t="str">
        <f aca="false">IFERROR(INDEX(Fixture!$E$5:$E$108,MATCH(D99,Fixture!$A$5:$A$108,0)),"")</f>
        <v>A definir</v>
      </c>
      <c r="G99" s="12" t="str">
        <f aca="false">IFERROR(INDEX(Fixture!$F$5:$F$108,MATCH(D99,Fixture!$A$5:$A$108,0)),"")</f>
        <v>A definir</v>
      </c>
      <c r="H99" s="20" t="n">
        <f aca="false">IFERROR(INDEX(Fixture!$G$5:$G$108,MATCH(D99,Fixture!$A$5:$A$108,0)),"")</f>
        <v>46209.75</v>
      </c>
      <c r="I99" s="21"/>
      <c r="J99" s="21"/>
      <c r="K99" s="12" t="str">
        <f aca="false">IFERROR(INDEX(Fixture!$I$5:$I$108,MATCH(D99,Fixture!$A$5:$A$108,0))&amp;"-"&amp;INDEX(Fixture!$J$5:$J$108,MATCH(D99,Fixture!$A$5:$A$108,0)),"")</f>
        <v>-</v>
      </c>
      <c r="L99" s="11" t="str">
        <f aca="false">IF(M99&lt;&gt;"FINALIZADO","",IF(OR(ISBLANK(I99),ISBLANK(J99)),0,IF(AND(I99=IFERROR(INDEX(Fixture!$I$5:$I$108,MATCH(D99,Fixture!$A$5:$A$108,0)),"-999"),J99=IFERROR(INDEX(Fixture!$J$5:$J$108,MATCH(D99,Fixture!$A$5:$A$108,0)),"-999")),IFERROR(INDEX(Fases!$C$5:$C$10,MATCH(IFERROR(INDEX(Fixture!$B$5:$B$108,MATCH(D99,Fixture!$A$5:$A$108,0)),0),Fases!$A$5:$A$10,0)),0),IF(OR(AND(I99&gt;J99,IFERROR(INDEX(Fixture!$I$5:$I$108,MATCH(D99,Fixture!$A$5:$A$108,0)),0)&gt;IFERROR(INDEX(Fixture!$J$5:$J$108,MATCH(D99,Fixture!$A$5:$A$108,0)),0)),AND(I99&lt;J99,IFERROR(INDEX(Fixture!$I$5:$I$108,MATCH(D99,Fixture!$A$5:$A$108,0)),0)&lt;IFERROR(INDEX(Fixture!$J$5:$J$108,MATCH(D99,Fixture!$A$5:$A$108,0)),0)),AND(I99=J99,IFERROR(INDEX(Fixture!$I$5:$I$108,MATCH(D99,Fixture!$A$5:$A$108,0)),0)=IFERROR(INDEX(Fixture!$J$5:$J$108,MATCH(D99,Fixture!$A$5:$A$108,0)),0))),IFERROR(INDEX(Fases!$D$5:$D$10,MATCH(IFERROR(INDEX(Fixture!$B$5:$B$108,MATCH(D99,Fixture!$A$5:$A$108,0)),0),Fases!$A$5:$A$10,0)),0),0))))</f>
        <v/>
      </c>
      <c r="M99" s="12" t="str">
        <f aca="false">IFERROR(INDEX(Fixture!$K$5:$K$108,MATCH(D99,Fixture!$A$5:$A$108,0)),"")</f>
        <v>PENDIENTE</v>
      </c>
    </row>
    <row r="100" customFormat="false" ht="15" hidden="false" customHeight="false" outlineLevel="0" collapsed="false">
      <c r="A100" s="9" t="n">
        <v>96</v>
      </c>
      <c r="B100" s="9" t="n">
        <v>1</v>
      </c>
      <c r="C100" s="10" t="str">
        <f aca="false">IFERROR(INDEX(Usuarios!$C$5:$C$200,MATCH(B100,Usuarios!$A$5:$A$200,0)),"")</f>
        <v>carlitos</v>
      </c>
      <c r="D100" s="9" t="n">
        <v>96</v>
      </c>
      <c r="E100" s="10" t="str">
        <f aca="false">IFERROR(INDEX(Fases!$B$5:$B$10,MATCH(INDEX(Fixture!$B$5:$B$108,MATCH(D100,Fixture!$A$5:$A$108,0)),Fases!$A$5:$A$10,0)),"")</f>
        <v>Octavos</v>
      </c>
      <c r="F100" s="10" t="str">
        <f aca="false">IFERROR(INDEX(Fixture!$E$5:$E$108,MATCH(D100,Fixture!$A$5:$A$108,0)),"")</f>
        <v>A definir</v>
      </c>
      <c r="G100" s="10" t="str">
        <f aca="false">IFERROR(INDEX(Fixture!$F$5:$F$108,MATCH(D100,Fixture!$A$5:$A$108,0)),"")</f>
        <v>A definir</v>
      </c>
      <c r="H100" s="22" t="n">
        <f aca="false">IFERROR(INDEX(Fixture!$G$5:$G$108,MATCH(D100,Fixture!$A$5:$A$108,0)),"")</f>
        <v>46209.75</v>
      </c>
      <c r="I100" s="23"/>
      <c r="J100" s="23"/>
      <c r="K100" s="10" t="str">
        <f aca="false">IFERROR(INDEX(Fixture!$I$5:$I$108,MATCH(D100,Fixture!$A$5:$A$108,0))&amp;"-"&amp;INDEX(Fixture!$J$5:$J$108,MATCH(D100,Fixture!$A$5:$A$108,0)),"")</f>
        <v>-</v>
      </c>
      <c r="L100" s="9" t="str">
        <f aca="false">IF(M100&lt;&gt;"FINALIZADO","",IF(OR(ISBLANK(I100),ISBLANK(J100)),0,IF(AND(I100=IFERROR(INDEX(Fixture!$I$5:$I$108,MATCH(D100,Fixture!$A$5:$A$108,0)),"-999"),J100=IFERROR(INDEX(Fixture!$J$5:$J$108,MATCH(D100,Fixture!$A$5:$A$108,0)),"-999")),IFERROR(INDEX(Fases!$C$5:$C$10,MATCH(IFERROR(INDEX(Fixture!$B$5:$B$108,MATCH(D100,Fixture!$A$5:$A$108,0)),0),Fases!$A$5:$A$10,0)),0),IF(OR(AND(I100&gt;J100,IFERROR(INDEX(Fixture!$I$5:$I$108,MATCH(D100,Fixture!$A$5:$A$108,0)),0)&gt;IFERROR(INDEX(Fixture!$J$5:$J$108,MATCH(D100,Fixture!$A$5:$A$108,0)),0)),AND(I100&lt;J100,IFERROR(INDEX(Fixture!$I$5:$I$108,MATCH(D100,Fixture!$A$5:$A$108,0)),0)&lt;IFERROR(INDEX(Fixture!$J$5:$J$108,MATCH(D100,Fixture!$A$5:$A$108,0)),0)),AND(I100=J100,IFERROR(INDEX(Fixture!$I$5:$I$108,MATCH(D100,Fixture!$A$5:$A$108,0)),0)=IFERROR(INDEX(Fixture!$J$5:$J$108,MATCH(D100,Fixture!$A$5:$A$108,0)),0))),IFERROR(INDEX(Fases!$D$5:$D$10,MATCH(IFERROR(INDEX(Fixture!$B$5:$B$108,MATCH(D100,Fixture!$A$5:$A$108,0)),0),Fases!$A$5:$A$10,0)),0),0))))</f>
        <v/>
      </c>
      <c r="M100" s="10" t="str">
        <f aca="false">IFERROR(INDEX(Fixture!$K$5:$K$108,MATCH(D100,Fixture!$A$5:$A$108,0)),"")</f>
        <v>PENDIENTE</v>
      </c>
    </row>
    <row r="101" customFormat="false" ht="15" hidden="false" customHeight="false" outlineLevel="0" collapsed="false">
      <c r="A101" s="11" t="n">
        <v>97</v>
      </c>
      <c r="B101" s="11" t="n">
        <v>1</v>
      </c>
      <c r="C101" s="12" t="str">
        <f aca="false">IFERROR(INDEX(Usuarios!$C$5:$C$200,MATCH(B101,Usuarios!$A$5:$A$200,0)),"")</f>
        <v>carlitos</v>
      </c>
      <c r="D101" s="11" t="n">
        <v>97</v>
      </c>
      <c r="E101" s="12" t="str">
        <f aca="false">IFERROR(INDEX(Fases!$B$5:$B$10,MATCH(INDEX(Fixture!$B$5:$B$108,MATCH(D101,Fixture!$A$5:$A$108,0)),Fases!$A$5:$A$10,0)),"")</f>
        <v>Cuartos</v>
      </c>
      <c r="F101" s="12" t="str">
        <f aca="false">IFERROR(INDEX(Fixture!$E$5:$E$108,MATCH(D101,Fixture!$A$5:$A$108,0)),"")</f>
        <v>A definir</v>
      </c>
      <c r="G101" s="12" t="str">
        <f aca="false">IFERROR(INDEX(Fixture!$F$5:$F$108,MATCH(D101,Fixture!$A$5:$A$108,0)),"")</f>
        <v>A definir</v>
      </c>
      <c r="H101" s="20" t="n">
        <f aca="false">IFERROR(INDEX(Fixture!$G$5:$G$108,MATCH(D101,Fixture!$A$5:$A$108,0)),"")</f>
        <v>46213.75</v>
      </c>
      <c r="I101" s="21"/>
      <c r="J101" s="21"/>
      <c r="K101" s="12" t="str">
        <f aca="false">IFERROR(INDEX(Fixture!$I$5:$I$108,MATCH(D101,Fixture!$A$5:$A$108,0))&amp;"-"&amp;INDEX(Fixture!$J$5:$J$108,MATCH(D101,Fixture!$A$5:$A$108,0)),"")</f>
        <v>-</v>
      </c>
      <c r="L101" s="11" t="str">
        <f aca="false">IF(M101&lt;&gt;"FINALIZADO","",IF(OR(ISBLANK(I101),ISBLANK(J101)),0,IF(AND(I101=IFERROR(INDEX(Fixture!$I$5:$I$108,MATCH(D101,Fixture!$A$5:$A$108,0)),"-999"),J101=IFERROR(INDEX(Fixture!$J$5:$J$108,MATCH(D101,Fixture!$A$5:$A$108,0)),"-999")),IFERROR(INDEX(Fases!$C$5:$C$10,MATCH(IFERROR(INDEX(Fixture!$B$5:$B$108,MATCH(D101,Fixture!$A$5:$A$108,0)),0),Fases!$A$5:$A$10,0)),0),IF(OR(AND(I101&gt;J101,IFERROR(INDEX(Fixture!$I$5:$I$108,MATCH(D101,Fixture!$A$5:$A$108,0)),0)&gt;IFERROR(INDEX(Fixture!$J$5:$J$108,MATCH(D101,Fixture!$A$5:$A$108,0)),0)),AND(I101&lt;J101,IFERROR(INDEX(Fixture!$I$5:$I$108,MATCH(D101,Fixture!$A$5:$A$108,0)),0)&lt;IFERROR(INDEX(Fixture!$J$5:$J$108,MATCH(D101,Fixture!$A$5:$A$108,0)),0)),AND(I101=J101,IFERROR(INDEX(Fixture!$I$5:$I$108,MATCH(D101,Fixture!$A$5:$A$108,0)),0)=IFERROR(INDEX(Fixture!$J$5:$J$108,MATCH(D101,Fixture!$A$5:$A$108,0)),0))),IFERROR(INDEX(Fases!$D$5:$D$10,MATCH(IFERROR(INDEX(Fixture!$B$5:$B$108,MATCH(D101,Fixture!$A$5:$A$108,0)),0),Fases!$A$5:$A$10,0)),0),0))))</f>
        <v/>
      </c>
      <c r="M101" s="12" t="str">
        <f aca="false">IFERROR(INDEX(Fixture!$K$5:$K$108,MATCH(D101,Fixture!$A$5:$A$108,0)),"")</f>
        <v>PENDIENTE</v>
      </c>
    </row>
    <row r="102" customFormat="false" ht="15" hidden="false" customHeight="false" outlineLevel="0" collapsed="false">
      <c r="A102" s="9" t="n">
        <v>98</v>
      </c>
      <c r="B102" s="9" t="n">
        <v>1</v>
      </c>
      <c r="C102" s="10" t="str">
        <f aca="false">IFERROR(INDEX(Usuarios!$C$5:$C$200,MATCH(B102,Usuarios!$A$5:$A$200,0)),"")</f>
        <v>carlitos</v>
      </c>
      <c r="D102" s="9" t="n">
        <v>98</v>
      </c>
      <c r="E102" s="10" t="str">
        <f aca="false">IFERROR(INDEX(Fases!$B$5:$B$10,MATCH(INDEX(Fixture!$B$5:$B$108,MATCH(D102,Fixture!$A$5:$A$108,0)),Fases!$A$5:$A$10,0)),"")</f>
        <v>Cuartos</v>
      </c>
      <c r="F102" s="10" t="str">
        <f aca="false">IFERROR(INDEX(Fixture!$E$5:$E$108,MATCH(D102,Fixture!$A$5:$A$108,0)),"")</f>
        <v>A definir</v>
      </c>
      <c r="G102" s="10" t="str">
        <f aca="false">IFERROR(INDEX(Fixture!$F$5:$F$108,MATCH(D102,Fixture!$A$5:$A$108,0)),"")</f>
        <v>A definir</v>
      </c>
      <c r="H102" s="22" t="n">
        <f aca="false">IFERROR(INDEX(Fixture!$G$5:$G$108,MATCH(D102,Fixture!$A$5:$A$108,0)),"")</f>
        <v>46214.75</v>
      </c>
      <c r="I102" s="23"/>
      <c r="J102" s="23"/>
      <c r="K102" s="10" t="str">
        <f aca="false">IFERROR(INDEX(Fixture!$I$5:$I$108,MATCH(D102,Fixture!$A$5:$A$108,0))&amp;"-"&amp;INDEX(Fixture!$J$5:$J$108,MATCH(D102,Fixture!$A$5:$A$108,0)),"")</f>
        <v>-</v>
      </c>
      <c r="L102" s="9" t="str">
        <f aca="false">IF(M102&lt;&gt;"FINALIZADO","",IF(OR(ISBLANK(I102),ISBLANK(J102)),0,IF(AND(I102=IFERROR(INDEX(Fixture!$I$5:$I$108,MATCH(D102,Fixture!$A$5:$A$108,0)),"-999"),J102=IFERROR(INDEX(Fixture!$J$5:$J$108,MATCH(D102,Fixture!$A$5:$A$108,0)),"-999")),IFERROR(INDEX(Fases!$C$5:$C$10,MATCH(IFERROR(INDEX(Fixture!$B$5:$B$108,MATCH(D102,Fixture!$A$5:$A$108,0)),0),Fases!$A$5:$A$10,0)),0),IF(OR(AND(I102&gt;J102,IFERROR(INDEX(Fixture!$I$5:$I$108,MATCH(D102,Fixture!$A$5:$A$108,0)),0)&gt;IFERROR(INDEX(Fixture!$J$5:$J$108,MATCH(D102,Fixture!$A$5:$A$108,0)),0)),AND(I102&lt;J102,IFERROR(INDEX(Fixture!$I$5:$I$108,MATCH(D102,Fixture!$A$5:$A$108,0)),0)&lt;IFERROR(INDEX(Fixture!$J$5:$J$108,MATCH(D102,Fixture!$A$5:$A$108,0)),0)),AND(I102=J102,IFERROR(INDEX(Fixture!$I$5:$I$108,MATCH(D102,Fixture!$A$5:$A$108,0)),0)=IFERROR(INDEX(Fixture!$J$5:$J$108,MATCH(D102,Fixture!$A$5:$A$108,0)),0))),IFERROR(INDEX(Fases!$D$5:$D$10,MATCH(IFERROR(INDEX(Fixture!$B$5:$B$108,MATCH(D102,Fixture!$A$5:$A$108,0)),0),Fases!$A$5:$A$10,0)),0),0))))</f>
        <v/>
      </c>
      <c r="M102" s="10" t="str">
        <f aca="false">IFERROR(INDEX(Fixture!$K$5:$K$108,MATCH(D102,Fixture!$A$5:$A$108,0)),"")</f>
        <v>PENDIENTE</v>
      </c>
    </row>
    <row r="103" customFormat="false" ht="15" hidden="false" customHeight="false" outlineLevel="0" collapsed="false">
      <c r="A103" s="11" t="n">
        <v>99</v>
      </c>
      <c r="B103" s="11" t="n">
        <v>1</v>
      </c>
      <c r="C103" s="12" t="str">
        <f aca="false">IFERROR(INDEX(Usuarios!$C$5:$C$200,MATCH(B103,Usuarios!$A$5:$A$200,0)),"")</f>
        <v>carlitos</v>
      </c>
      <c r="D103" s="11" t="n">
        <v>99</v>
      </c>
      <c r="E103" s="12" t="str">
        <f aca="false">IFERROR(INDEX(Fases!$B$5:$B$10,MATCH(INDEX(Fixture!$B$5:$B$108,MATCH(D103,Fixture!$A$5:$A$108,0)),Fases!$A$5:$A$10,0)),"")</f>
        <v>Cuartos</v>
      </c>
      <c r="F103" s="12" t="str">
        <f aca="false">IFERROR(INDEX(Fixture!$E$5:$E$108,MATCH(D103,Fixture!$A$5:$A$108,0)),"")</f>
        <v>A definir</v>
      </c>
      <c r="G103" s="12" t="str">
        <f aca="false">IFERROR(INDEX(Fixture!$F$5:$F$108,MATCH(D103,Fixture!$A$5:$A$108,0)),"")</f>
        <v>A definir</v>
      </c>
      <c r="H103" s="20" t="n">
        <f aca="false">IFERROR(INDEX(Fixture!$G$5:$G$108,MATCH(D103,Fixture!$A$5:$A$108,0)),"")</f>
        <v>46215.75</v>
      </c>
      <c r="I103" s="21"/>
      <c r="J103" s="21"/>
      <c r="K103" s="12" t="str">
        <f aca="false">IFERROR(INDEX(Fixture!$I$5:$I$108,MATCH(D103,Fixture!$A$5:$A$108,0))&amp;"-"&amp;INDEX(Fixture!$J$5:$J$108,MATCH(D103,Fixture!$A$5:$A$108,0)),"")</f>
        <v>-</v>
      </c>
      <c r="L103" s="11" t="str">
        <f aca="false">IF(M103&lt;&gt;"FINALIZADO","",IF(OR(ISBLANK(I103),ISBLANK(J103)),0,IF(AND(I103=IFERROR(INDEX(Fixture!$I$5:$I$108,MATCH(D103,Fixture!$A$5:$A$108,0)),"-999"),J103=IFERROR(INDEX(Fixture!$J$5:$J$108,MATCH(D103,Fixture!$A$5:$A$108,0)),"-999")),IFERROR(INDEX(Fases!$C$5:$C$10,MATCH(IFERROR(INDEX(Fixture!$B$5:$B$108,MATCH(D103,Fixture!$A$5:$A$108,0)),0),Fases!$A$5:$A$10,0)),0),IF(OR(AND(I103&gt;J103,IFERROR(INDEX(Fixture!$I$5:$I$108,MATCH(D103,Fixture!$A$5:$A$108,0)),0)&gt;IFERROR(INDEX(Fixture!$J$5:$J$108,MATCH(D103,Fixture!$A$5:$A$108,0)),0)),AND(I103&lt;J103,IFERROR(INDEX(Fixture!$I$5:$I$108,MATCH(D103,Fixture!$A$5:$A$108,0)),0)&lt;IFERROR(INDEX(Fixture!$J$5:$J$108,MATCH(D103,Fixture!$A$5:$A$108,0)),0)),AND(I103=J103,IFERROR(INDEX(Fixture!$I$5:$I$108,MATCH(D103,Fixture!$A$5:$A$108,0)),0)=IFERROR(INDEX(Fixture!$J$5:$J$108,MATCH(D103,Fixture!$A$5:$A$108,0)),0))),IFERROR(INDEX(Fases!$D$5:$D$10,MATCH(IFERROR(INDEX(Fixture!$B$5:$B$108,MATCH(D103,Fixture!$A$5:$A$108,0)),0),Fases!$A$5:$A$10,0)),0),0))))</f>
        <v/>
      </c>
      <c r="M103" s="12" t="str">
        <f aca="false">IFERROR(INDEX(Fixture!$K$5:$K$108,MATCH(D103,Fixture!$A$5:$A$108,0)),"")</f>
        <v>PENDIENTE</v>
      </c>
    </row>
    <row r="104" customFormat="false" ht="15" hidden="false" customHeight="false" outlineLevel="0" collapsed="false">
      <c r="A104" s="9" t="n">
        <v>100</v>
      </c>
      <c r="B104" s="9" t="n">
        <v>1</v>
      </c>
      <c r="C104" s="10" t="str">
        <f aca="false">IFERROR(INDEX(Usuarios!$C$5:$C$200,MATCH(B104,Usuarios!$A$5:$A$200,0)),"")</f>
        <v>carlitos</v>
      </c>
      <c r="D104" s="9" t="n">
        <v>100</v>
      </c>
      <c r="E104" s="10" t="str">
        <f aca="false">IFERROR(INDEX(Fases!$B$5:$B$10,MATCH(INDEX(Fixture!$B$5:$B$108,MATCH(D104,Fixture!$A$5:$A$108,0)),Fases!$A$5:$A$10,0)),"")</f>
        <v>Cuartos</v>
      </c>
      <c r="F104" s="10" t="str">
        <f aca="false">IFERROR(INDEX(Fixture!$E$5:$E$108,MATCH(D104,Fixture!$A$5:$A$108,0)),"")</f>
        <v>A definir</v>
      </c>
      <c r="G104" s="10" t="str">
        <f aca="false">IFERROR(INDEX(Fixture!$F$5:$F$108,MATCH(D104,Fixture!$A$5:$A$108,0)),"")</f>
        <v>A definir</v>
      </c>
      <c r="H104" s="22" t="n">
        <f aca="false">IFERROR(INDEX(Fixture!$G$5:$G$108,MATCH(D104,Fixture!$A$5:$A$108,0)),"")</f>
        <v>46216.75</v>
      </c>
      <c r="I104" s="23"/>
      <c r="J104" s="23"/>
      <c r="K104" s="10" t="str">
        <f aca="false">IFERROR(INDEX(Fixture!$I$5:$I$108,MATCH(D104,Fixture!$A$5:$A$108,0))&amp;"-"&amp;INDEX(Fixture!$J$5:$J$108,MATCH(D104,Fixture!$A$5:$A$108,0)),"")</f>
        <v>-</v>
      </c>
      <c r="L104" s="9" t="str">
        <f aca="false">IF(M104&lt;&gt;"FINALIZADO","",IF(OR(ISBLANK(I104),ISBLANK(J104)),0,IF(AND(I104=IFERROR(INDEX(Fixture!$I$5:$I$108,MATCH(D104,Fixture!$A$5:$A$108,0)),"-999"),J104=IFERROR(INDEX(Fixture!$J$5:$J$108,MATCH(D104,Fixture!$A$5:$A$108,0)),"-999")),IFERROR(INDEX(Fases!$C$5:$C$10,MATCH(IFERROR(INDEX(Fixture!$B$5:$B$108,MATCH(D104,Fixture!$A$5:$A$108,0)),0),Fases!$A$5:$A$10,0)),0),IF(OR(AND(I104&gt;J104,IFERROR(INDEX(Fixture!$I$5:$I$108,MATCH(D104,Fixture!$A$5:$A$108,0)),0)&gt;IFERROR(INDEX(Fixture!$J$5:$J$108,MATCH(D104,Fixture!$A$5:$A$108,0)),0)),AND(I104&lt;J104,IFERROR(INDEX(Fixture!$I$5:$I$108,MATCH(D104,Fixture!$A$5:$A$108,0)),0)&lt;IFERROR(INDEX(Fixture!$J$5:$J$108,MATCH(D104,Fixture!$A$5:$A$108,0)),0)),AND(I104=J104,IFERROR(INDEX(Fixture!$I$5:$I$108,MATCH(D104,Fixture!$A$5:$A$108,0)),0)=IFERROR(INDEX(Fixture!$J$5:$J$108,MATCH(D104,Fixture!$A$5:$A$108,0)),0))),IFERROR(INDEX(Fases!$D$5:$D$10,MATCH(IFERROR(INDEX(Fixture!$B$5:$B$108,MATCH(D104,Fixture!$A$5:$A$108,0)),0),Fases!$A$5:$A$10,0)),0),0))))</f>
        <v/>
      </c>
      <c r="M104" s="10" t="str">
        <f aca="false">IFERROR(INDEX(Fixture!$K$5:$K$108,MATCH(D104,Fixture!$A$5:$A$108,0)),"")</f>
        <v>PENDIENTE</v>
      </c>
    </row>
    <row r="105" customFormat="false" ht="15" hidden="false" customHeight="false" outlineLevel="0" collapsed="false">
      <c r="A105" s="11" t="n">
        <v>101</v>
      </c>
      <c r="B105" s="11" t="n">
        <v>1</v>
      </c>
      <c r="C105" s="12" t="str">
        <f aca="false">IFERROR(INDEX(Usuarios!$C$5:$C$200,MATCH(B105,Usuarios!$A$5:$A$200,0)),"")</f>
        <v>carlitos</v>
      </c>
      <c r="D105" s="11" t="n">
        <v>101</v>
      </c>
      <c r="E105" s="12" t="str">
        <f aca="false">IFERROR(INDEX(Fases!$B$5:$B$10,MATCH(INDEX(Fixture!$B$5:$B$108,MATCH(D105,Fixture!$A$5:$A$108,0)),Fases!$A$5:$A$10,0)),"")</f>
        <v>Semifinales</v>
      </c>
      <c r="F105" s="12" t="str">
        <f aca="false">IFERROR(INDEX(Fixture!$E$5:$E$108,MATCH(D105,Fixture!$A$5:$A$108,0)),"")</f>
        <v>A definir</v>
      </c>
      <c r="G105" s="12" t="str">
        <f aca="false">IFERROR(INDEX(Fixture!$F$5:$F$108,MATCH(D105,Fixture!$A$5:$A$108,0)),"")</f>
        <v>A definir</v>
      </c>
      <c r="H105" s="20" t="n">
        <f aca="false">IFERROR(INDEX(Fixture!$G$5:$G$108,MATCH(D105,Fixture!$A$5:$A$108,0)),"")</f>
        <v>46217.7916666667</v>
      </c>
      <c r="I105" s="21"/>
      <c r="J105" s="21"/>
      <c r="K105" s="12" t="str">
        <f aca="false">IFERROR(INDEX(Fixture!$I$5:$I$108,MATCH(D105,Fixture!$A$5:$A$108,0))&amp;"-"&amp;INDEX(Fixture!$J$5:$J$108,MATCH(D105,Fixture!$A$5:$A$108,0)),"")</f>
        <v>-</v>
      </c>
      <c r="L105" s="11" t="str">
        <f aca="false">IF(M105&lt;&gt;"FINALIZADO","",IF(OR(ISBLANK(I105),ISBLANK(J105)),0,IF(AND(I105=IFERROR(INDEX(Fixture!$I$5:$I$108,MATCH(D105,Fixture!$A$5:$A$108,0)),"-999"),J105=IFERROR(INDEX(Fixture!$J$5:$J$108,MATCH(D105,Fixture!$A$5:$A$108,0)),"-999")),IFERROR(INDEX(Fases!$C$5:$C$10,MATCH(IFERROR(INDEX(Fixture!$B$5:$B$108,MATCH(D105,Fixture!$A$5:$A$108,0)),0),Fases!$A$5:$A$10,0)),0),IF(OR(AND(I105&gt;J105,IFERROR(INDEX(Fixture!$I$5:$I$108,MATCH(D105,Fixture!$A$5:$A$108,0)),0)&gt;IFERROR(INDEX(Fixture!$J$5:$J$108,MATCH(D105,Fixture!$A$5:$A$108,0)),0)),AND(I105&lt;J105,IFERROR(INDEX(Fixture!$I$5:$I$108,MATCH(D105,Fixture!$A$5:$A$108,0)),0)&lt;IFERROR(INDEX(Fixture!$J$5:$J$108,MATCH(D105,Fixture!$A$5:$A$108,0)),0)),AND(I105=J105,IFERROR(INDEX(Fixture!$I$5:$I$108,MATCH(D105,Fixture!$A$5:$A$108,0)),0)=IFERROR(INDEX(Fixture!$J$5:$J$108,MATCH(D105,Fixture!$A$5:$A$108,0)),0))),IFERROR(INDEX(Fases!$D$5:$D$10,MATCH(IFERROR(INDEX(Fixture!$B$5:$B$108,MATCH(D105,Fixture!$A$5:$A$108,0)),0),Fases!$A$5:$A$10,0)),0),0))))</f>
        <v/>
      </c>
      <c r="M105" s="12" t="str">
        <f aca="false">IFERROR(INDEX(Fixture!$K$5:$K$108,MATCH(D105,Fixture!$A$5:$A$108,0)),"")</f>
        <v>PENDIENTE</v>
      </c>
    </row>
    <row r="106" customFormat="false" ht="15" hidden="false" customHeight="false" outlineLevel="0" collapsed="false">
      <c r="A106" s="9" t="n">
        <v>102</v>
      </c>
      <c r="B106" s="9" t="n">
        <v>1</v>
      </c>
      <c r="C106" s="10" t="str">
        <f aca="false">IFERROR(INDEX(Usuarios!$C$5:$C$200,MATCH(B106,Usuarios!$A$5:$A$200,0)),"")</f>
        <v>carlitos</v>
      </c>
      <c r="D106" s="9" t="n">
        <v>102</v>
      </c>
      <c r="E106" s="10" t="str">
        <f aca="false">IFERROR(INDEX(Fases!$B$5:$B$10,MATCH(INDEX(Fixture!$B$5:$B$108,MATCH(D106,Fixture!$A$5:$A$108,0)),Fases!$A$5:$A$10,0)),"")</f>
        <v>Semifinales</v>
      </c>
      <c r="F106" s="10" t="str">
        <f aca="false">IFERROR(INDEX(Fixture!$E$5:$E$108,MATCH(D106,Fixture!$A$5:$A$108,0)),"")</f>
        <v>A definir</v>
      </c>
      <c r="G106" s="10" t="str">
        <f aca="false">IFERROR(INDEX(Fixture!$F$5:$F$108,MATCH(D106,Fixture!$A$5:$A$108,0)),"")</f>
        <v>A definir</v>
      </c>
      <c r="H106" s="22" t="n">
        <f aca="false">IFERROR(INDEX(Fixture!$G$5:$G$108,MATCH(D106,Fixture!$A$5:$A$108,0)),"")</f>
        <v>46219.7916666667</v>
      </c>
      <c r="I106" s="23"/>
      <c r="J106" s="23"/>
      <c r="K106" s="10" t="str">
        <f aca="false">IFERROR(INDEX(Fixture!$I$5:$I$108,MATCH(D106,Fixture!$A$5:$A$108,0))&amp;"-"&amp;INDEX(Fixture!$J$5:$J$108,MATCH(D106,Fixture!$A$5:$A$108,0)),"")</f>
        <v>-</v>
      </c>
      <c r="L106" s="9" t="str">
        <f aca="false">IF(M106&lt;&gt;"FINALIZADO","",IF(OR(ISBLANK(I106),ISBLANK(J106)),0,IF(AND(I106=IFERROR(INDEX(Fixture!$I$5:$I$108,MATCH(D106,Fixture!$A$5:$A$108,0)),"-999"),J106=IFERROR(INDEX(Fixture!$J$5:$J$108,MATCH(D106,Fixture!$A$5:$A$108,0)),"-999")),IFERROR(INDEX(Fases!$C$5:$C$10,MATCH(IFERROR(INDEX(Fixture!$B$5:$B$108,MATCH(D106,Fixture!$A$5:$A$108,0)),0),Fases!$A$5:$A$10,0)),0),IF(OR(AND(I106&gt;J106,IFERROR(INDEX(Fixture!$I$5:$I$108,MATCH(D106,Fixture!$A$5:$A$108,0)),0)&gt;IFERROR(INDEX(Fixture!$J$5:$J$108,MATCH(D106,Fixture!$A$5:$A$108,0)),0)),AND(I106&lt;J106,IFERROR(INDEX(Fixture!$I$5:$I$108,MATCH(D106,Fixture!$A$5:$A$108,0)),0)&lt;IFERROR(INDEX(Fixture!$J$5:$J$108,MATCH(D106,Fixture!$A$5:$A$108,0)),0)),AND(I106=J106,IFERROR(INDEX(Fixture!$I$5:$I$108,MATCH(D106,Fixture!$A$5:$A$108,0)),0)=IFERROR(INDEX(Fixture!$J$5:$J$108,MATCH(D106,Fixture!$A$5:$A$108,0)),0))),IFERROR(INDEX(Fases!$D$5:$D$10,MATCH(IFERROR(INDEX(Fixture!$B$5:$B$108,MATCH(D106,Fixture!$A$5:$A$108,0)),0),Fases!$A$5:$A$10,0)),0),0))))</f>
        <v/>
      </c>
      <c r="M106" s="10" t="str">
        <f aca="false">IFERROR(INDEX(Fixture!$K$5:$K$108,MATCH(D106,Fixture!$A$5:$A$108,0)),"")</f>
        <v>PENDIENTE</v>
      </c>
    </row>
    <row r="107" customFormat="false" ht="15" hidden="false" customHeight="false" outlineLevel="0" collapsed="false">
      <c r="A107" s="11" t="n">
        <v>103</v>
      </c>
      <c r="B107" s="11" t="n">
        <v>1</v>
      </c>
      <c r="C107" s="12" t="str">
        <f aca="false">IFERROR(INDEX(Usuarios!$C$5:$C$200,MATCH(B107,Usuarios!$A$5:$A$200,0)),"")</f>
        <v>carlitos</v>
      </c>
      <c r="D107" s="11" t="n">
        <v>103</v>
      </c>
      <c r="E107" s="12" t="str">
        <f aca="false">IFERROR(INDEX(Fases!$B$5:$B$10,MATCH(INDEX(Fixture!$B$5:$B$108,MATCH(D107,Fixture!$A$5:$A$108,0)),Fases!$A$5:$A$10,0)),"")</f>
        <v>Final</v>
      </c>
      <c r="F107" s="12" t="str">
        <f aca="false">IFERROR(INDEX(Fixture!$E$5:$E$108,MATCH(D107,Fixture!$A$5:$A$108,0)),"")</f>
        <v>A definir</v>
      </c>
      <c r="G107" s="12" t="str">
        <f aca="false">IFERROR(INDEX(Fixture!$F$5:$F$108,MATCH(D107,Fixture!$A$5:$A$108,0)),"")</f>
        <v>A definir</v>
      </c>
      <c r="H107" s="20" t="n">
        <f aca="false">IFERROR(INDEX(Fixture!$G$5:$G$108,MATCH(D107,Fixture!$A$5:$A$108,0)),"")</f>
        <v>46222.7916666667</v>
      </c>
      <c r="I107" s="21"/>
      <c r="J107" s="21"/>
      <c r="K107" s="12" t="str">
        <f aca="false">IFERROR(INDEX(Fixture!$I$5:$I$108,MATCH(D107,Fixture!$A$5:$A$108,0))&amp;"-"&amp;INDEX(Fixture!$J$5:$J$108,MATCH(D107,Fixture!$A$5:$A$108,0)),"")</f>
        <v>-</v>
      </c>
      <c r="L107" s="11" t="str">
        <f aca="false">IF(M107&lt;&gt;"FINALIZADO","",IF(OR(ISBLANK(I107),ISBLANK(J107)),0,IF(AND(I107=IFERROR(INDEX(Fixture!$I$5:$I$108,MATCH(D107,Fixture!$A$5:$A$108,0)),"-999"),J107=IFERROR(INDEX(Fixture!$J$5:$J$108,MATCH(D107,Fixture!$A$5:$A$108,0)),"-999")),IFERROR(INDEX(Fases!$C$5:$C$10,MATCH(IFERROR(INDEX(Fixture!$B$5:$B$108,MATCH(D107,Fixture!$A$5:$A$108,0)),0),Fases!$A$5:$A$10,0)),0),IF(OR(AND(I107&gt;J107,IFERROR(INDEX(Fixture!$I$5:$I$108,MATCH(D107,Fixture!$A$5:$A$108,0)),0)&gt;IFERROR(INDEX(Fixture!$J$5:$J$108,MATCH(D107,Fixture!$A$5:$A$108,0)),0)),AND(I107&lt;J107,IFERROR(INDEX(Fixture!$I$5:$I$108,MATCH(D107,Fixture!$A$5:$A$108,0)),0)&lt;IFERROR(INDEX(Fixture!$J$5:$J$108,MATCH(D107,Fixture!$A$5:$A$108,0)),0)),AND(I107=J107,IFERROR(INDEX(Fixture!$I$5:$I$108,MATCH(D107,Fixture!$A$5:$A$108,0)),0)=IFERROR(INDEX(Fixture!$J$5:$J$108,MATCH(D107,Fixture!$A$5:$A$108,0)),0))),IFERROR(INDEX(Fases!$D$5:$D$10,MATCH(IFERROR(INDEX(Fixture!$B$5:$B$108,MATCH(D107,Fixture!$A$5:$A$108,0)),0),Fases!$A$5:$A$10,0)),0),0))))</f>
        <v/>
      </c>
      <c r="M107" s="12" t="str">
        <f aca="false">IFERROR(INDEX(Fixture!$K$5:$K$108,MATCH(D107,Fixture!$A$5:$A$108,0)),"")</f>
        <v>PENDIENTE</v>
      </c>
    </row>
    <row r="108" customFormat="false" ht="15" hidden="false" customHeight="false" outlineLevel="0" collapsed="false">
      <c r="A108" s="9" t="n">
        <v>104</v>
      </c>
      <c r="B108" s="9" t="n">
        <v>2</v>
      </c>
      <c r="C108" s="10" t="str">
        <f aca="false">IFERROR(INDEX(Usuarios!$C$5:$C$200,MATCH(B108,Usuarios!$A$5:$A$200,0)),"")</f>
        <v>mari23</v>
      </c>
      <c r="D108" s="9" t="n">
        <v>1</v>
      </c>
      <c r="E108" s="10" t="str">
        <f aca="false">IFERROR(INDEX(Fases!$B$5:$B$10,MATCH(INDEX(Fixture!$B$5:$B$108,MATCH(D108,Fixture!$A$5:$A$108,0)),Fases!$A$5:$A$10,0)),"")</f>
        <v>Grupos</v>
      </c>
      <c r="F108" s="10" t="str">
        <f aca="false">IFERROR(INDEX(Fixture!$E$5:$E$108,MATCH(D108,Fixture!$A$5:$A$108,0)),"")</f>
        <v>Argentina</v>
      </c>
      <c r="G108" s="10" t="str">
        <f aca="false">IFERROR(INDEX(Fixture!$F$5:$F$108,MATCH(D108,Fixture!$A$5:$A$108,0)),"")</f>
        <v>Bolivia</v>
      </c>
      <c r="H108" s="22" t="n">
        <f aca="false">IFERROR(INDEX(Fixture!$G$5:$G$108,MATCH(D108,Fixture!$A$5:$A$108,0)),"")</f>
        <v>46184.625</v>
      </c>
      <c r="I108" s="23"/>
      <c r="J108" s="23"/>
      <c r="K108" s="10" t="str">
        <f aca="false">IFERROR(INDEX(Fixture!$I$5:$I$108,MATCH(D108,Fixture!$A$5:$A$108,0))&amp;"-"&amp;INDEX(Fixture!$J$5:$J$108,MATCH(D108,Fixture!$A$5:$A$108,0)),"")</f>
        <v>-</v>
      </c>
      <c r="L108" s="9" t="str">
        <f aca="false">IF(M108&lt;&gt;"FINALIZADO","",IF(OR(ISBLANK(I108),ISBLANK(J108)),0,IF(AND(I108=IFERROR(INDEX(Fixture!$I$5:$I$108,MATCH(D108,Fixture!$A$5:$A$108,0)),"-999"),J108=IFERROR(INDEX(Fixture!$J$5:$J$108,MATCH(D108,Fixture!$A$5:$A$108,0)),"-999")),IFERROR(INDEX(Fases!$C$5:$C$10,MATCH(IFERROR(INDEX(Fixture!$B$5:$B$108,MATCH(D108,Fixture!$A$5:$A$108,0)),0),Fases!$A$5:$A$10,0)),0),IF(OR(AND(I108&gt;J108,IFERROR(INDEX(Fixture!$I$5:$I$108,MATCH(D108,Fixture!$A$5:$A$108,0)),0)&gt;IFERROR(INDEX(Fixture!$J$5:$J$108,MATCH(D108,Fixture!$A$5:$A$108,0)),0)),AND(I108&lt;J108,IFERROR(INDEX(Fixture!$I$5:$I$108,MATCH(D108,Fixture!$A$5:$A$108,0)),0)&lt;IFERROR(INDEX(Fixture!$J$5:$J$108,MATCH(D108,Fixture!$A$5:$A$108,0)),0)),AND(I108=J108,IFERROR(INDEX(Fixture!$I$5:$I$108,MATCH(D108,Fixture!$A$5:$A$108,0)),0)=IFERROR(INDEX(Fixture!$J$5:$J$108,MATCH(D108,Fixture!$A$5:$A$108,0)),0))),IFERROR(INDEX(Fases!$D$5:$D$10,MATCH(IFERROR(INDEX(Fixture!$B$5:$B$108,MATCH(D108,Fixture!$A$5:$A$108,0)),0),Fases!$A$5:$A$10,0)),0),0))))</f>
        <v/>
      </c>
      <c r="M108" s="10" t="str">
        <f aca="false">IFERROR(INDEX(Fixture!$K$5:$K$108,MATCH(D108,Fixture!$A$5:$A$108,0)),"")</f>
        <v>PENDIENTE</v>
      </c>
    </row>
    <row r="109" customFormat="false" ht="15" hidden="false" customHeight="false" outlineLevel="0" collapsed="false">
      <c r="A109" s="11" t="n">
        <v>105</v>
      </c>
      <c r="B109" s="11" t="n">
        <v>2</v>
      </c>
      <c r="C109" s="12" t="str">
        <f aca="false">IFERROR(INDEX(Usuarios!$C$5:$C$200,MATCH(B109,Usuarios!$A$5:$A$200,0)),"")</f>
        <v>mari23</v>
      </c>
      <c r="D109" s="11" t="n">
        <v>2</v>
      </c>
      <c r="E109" s="12" t="str">
        <f aca="false">IFERROR(INDEX(Fases!$B$5:$B$10,MATCH(INDEX(Fixture!$B$5:$B$108,MATCH(D109,Fixture!$A$5:$A$108,0)),Fases!$A$5:$A$10,0)),"")</f>
        <v>Grupos</v>
      </c>
      <c r="F109" s="12" t="str">
        <f aca="false">IFERROR(INDEX(Fixture!$E$5:$E$108,MATCH(D109,Fixture!$A$5:$A$108,0)),"")</f>
        <v>Argentina</v>
      </c>
      <c r="G109" s="12" t="str">
        <f aca="false">IFERROR(INDEX(Fixture!$F$5:$F$108,MATCH(D109,Fixture!$A$5:$A$108,0)),"")</f>
        <v>Ecuador</v>
      </c>
      <c r="H109" s="20" t="n">
        <f aca="false">IFERROR(INDEX(Fixture!$G$5:$G$108,MATCH(D109,Fixture!$A$5:$A$108,0)),"")</f>
        <v>46184.75</v>
      </c>
      <c r="I109" s="21"/>
      <c r="J109" s="21"/>
      <c r="K109" s="12" t="str">
        <f aca="false">IFERROR(INDEX(Fixture!$I$5:$I$108,MATCH(D109,Fixture!$A$5:$A$108,0))&amp;"-"&amp;INDEX(Fixture!$J$5:$J$108,MATCH(D109,Fixture!$A$5:$A$108,0)),"")</f>
        <v>-</v>
      </c>
      <c r="L109" s="11" t="str">
        <f aca="false">IF(M109&lt;&gt;"FINALIZADO","",IF(OR(ISBLANK(I109),ISBLANK(J109)),0,IF(AND(I109=IFERROR(INDEX(Fixture!$I$5:$I$108,MATCH(D109,Fixture!$A$5:$A$108,0)),"-999"),J109=IFERROR(INDEX(Fixture!$J$5:$J$108,MATCH(D109,Fixture!$A$5:$A$108,0)),"-999")),IFERROR(INDEX(Fases!$C$5:$C$10,MATCH(IFERROR(INDEX(Fixture!$B$5:$B$108,MATCH(D109,Fixture!$A$5:$A$108,0)),0),Fases!$A$5:$A$10,0)),0),IF(OR(AND(I109&gt;J109,IFERROR(INDEX(Fixture!$I$5:$I$108,MATCH(D109,Fixture!$A$5:$A$108,0)),0)&gt;IFERROR(INDEX(Fixture!$J$5:$J$108,MATCH(D109,Fixture!$A$5:$A$108,0)),0)),AND(I109&lt;J109,IFERROR(INDEX(Fixture!$I$5:$I$108,MATCH(D109,Fixture!$A$5:$A$108,0)),0)&lt;IFERROR(INDEX(Fixture!$J$5:$J$108,MATCH(D109,Fixture!$A$5:$A$108,0)),0)),AND(I109=J109,IFERROR(INDEX(Fixture!$I$5:$I$108,MATCH(D109,Fixture!$A$5:$A$108,0)),0)=IFERROR(INDEX(Fixture!$J$5:$J$108,MATCH(D109,Fixture!$A$5:$A$108,0)),0))),IFERROR(INDEX(Fases!$D$5:$D$10,MATCH(IFERROR(INDEX(Fixture!$B$5:$B$108,MATCH(D109,Fixture!$A$5:$A$108,0)),0),Fases!$A$5:$A$10,0)),0),0))))</f>
        <v/>
      </c>
      <c r="M109" s="12" t="str">
        <f aca="false">IFERROR(INDEX(Fixture!$K$5:$K$108,MATCH(D109,Fixture!$A$5:$A$108,0)),"")</f>
        <v>PENDIENTE</v>
      </c>
    </row>
    <row r="110" customFormat="false" ht="15" hidden="false" customHeight="false" outlineLevel="0" collapsed="false">
      <c r="A110" s="9" t="n">
        <v>106</v>
      </c>
      <c r="B110" s="9" t="n">
        <v>2</v>
      </c>
      <c r="C110" s="10" t="str">
        <f aca="false">IFERROR(INDEX(Usuarios!$C$5:$C$200,MATCH(B110,Usuarios!$A$5:$A$200,0)),"")</f>
        <v>mari23</v>
      </c>
      <c r="D110" s="9" t="n">
        <v>3</v>
      </c>
      <c r="E110" s="10" t="str">
        <f aca="false">IFERROR(INDEX(Fases!$B$5:$B$10,MATCH(INDEX(Fixture!$B$5:$B$108,MATCH(D110,Fixture!$A$5:$A$108,0)),Fases!$A$5:$A$10,0)),"")</f>
        <v>Grupos</v>
      </c>
      <c r="F110" s="10" t="str">
        <f aca="false">IFERROR(INDEX(Fixture!$E$5:$E$108,MATCH(D110,Fixture!$A$5:$A$108,0)),"")</f>
        <v>Argentina</v>
      </c>
      <c r="G110" s="10" t="str">
        <f aca="false">IFERROR(INDEX(Fixture!$F$5:$F$108,MATCH(D110,Fixture!$A$5:$A$108,0)),"")</f>
        <v>Uruguay</v>
      </c>
      <c r="H110" s="22" t="n">
        <f aca="false">IFERROR(INDEX(Fixture!$G$5:$G$108,MATCH(D110,Fixture!$A$5:$A$108,0)),"")</f>
        <v>46184.875</v>
      </c>
      <c r="I110" s="23"/>
      <c r="J110" s="23"/>
      <c r="K110" s="10" t="str">
        <f aca="false">IFERROR(INDEX(Fixture!$I$5:$I$108,MATCH(D110,Fixture!$A$5:$A$108,0))&amp;"-"&amp;INDEX(Fixture!$J$5:$J$108,MATCH(D110,Fixture!$A$5:$A$108,0)),"")</f>
        <v>-</v>
      </c>
      <c r="L110" s="9" t="str">
        <f aca="false">IF(M110&lt;&gt;"FINALIZADO","",IF(OR(ISBLANK(I110),ISBLANK(J110)),0,IF(AND(I110=IFERROR(INDEX(Fixture!$I$5:$I$108,MATCH(D110,Fixture!$A$5:$A$108,0)),"-999"),J110=IFERROR(INDEX(Fixture!$J$5:$J$108,MATCH(D110,Fixture!$A$5:$A$108,0)),"-999")),IFERROR(INDEX(Fases!$C$5:$C$10,MATCH(IFERROR(INDEX(Fixture!$B$5:$B$108,MATCH(D110,Fixture!$A$5:$A$108,0)),0),Fases!$A$5:$A$10,0)),0),IF(OR(AND(I110&gt;J110,IFERROR(INDEX(Fixture!$I$5:$I$108,MATCH(D110,Fixture!$A$5:$A$108,0)),0)&gt;IFERROR(INDEX(Fixture!$J$5:$J$108,MATCH(D110,Fixture!$A$5:$A$108,0)),0)),AND(I110&lt;J110,IFERROR(INDEX(Fixture!$I$5:$I$108,MATCH(D110,Fixture!$A$5:$A$108,0)),0)&lt;IFERROR(INDEX(Fixture!$J$5:$J$108,MATCH(D110,Fixture!$A$5:$A$108,0)),0)),AND(I110=J110,IFERROR(INDEX(Fixture!$I$5:$I$108,MATCH(D110,Fixture!$A$5:$A$108,0)),0)=IFERROR(INDEX(Fixture!$J$5:$J$108,MATCH(D110,Fixture!$A$5:$A$108,0)),0))),IFERROR(INDEX(Fases!$D$5:$D$10,MATCH(IFERROR(INDEX(Fixture!$B$5:$B$108,MATCH(D110,Fixture!$A$5:$A$108,0)),0),Fases!$A$5:$A$10,0)),0),0))))</f>
        <v/>
      </c>
      <c r="M110" s="10" t="str">
        <f aca="false">IFERROR(INDEX(Fixture!$K$5:$K$108,MATCH(D110,Fixture!$A$5:$A$108,0)),"")</f>
        <v>PENDIENTE</v>
      </c>
    </row>
    <row r="111" customFormat="false" ht="15" hidden="false" customHeight="false" outlineLevel="0" collapsed="false">
      <c r="A111" s="11" t="n">
        <v>107</v>
      </c>
      <c r="B111" s="11" t="n">
        <v>2</v>
      </c>
      <c r="C111" s="12" t="str">
        <f aca="false">IFERROR(INDEX(Usuarios!$C$5:$C$200,MATCH(B111,Usuarios!$A$5:$A$200,0)),"")</f>
        <v>mari23</v>
      </c>
      <c r="D111" s="11" t="n">
        <v>4</v>
      </c>
      <c r="E111" s="12" t="str">
        <f aca="false">IFERROR(INDEX(Fases!$B$5:$B$10,MATCH(INDEX(Fixture!$B$5:$B$108,MATCH(D111,Fixture!$A$5:$A$108,0)),Fases!$A$5:$A$10,0)),"")</f>
        <v>Grupos</v>
      </c>
      <c r="F111" s="12" t="str">
        <f aca="false">IFERROR(INDEX(Fixture!$E$5:$E$108,MATCH(D111,Fixture!$A$5:$A$108,0)),"")</f>
        <v>Bolivia</v>
      </c>
      <c r="G111" s="12" t="str">
        <f aca="false">IFERROR(INDEX(Fixture!$F$5:$F$108,MATCH(D111,Fixture!$A$5:$A$108,0)),"")</f>
        <v>Ecuador</v>
      </c>
      <c r="H111" s="20" t="n">
        <f aca="false">IFERROR(INDEX(Fixture!$G$5:$G$108,MATCH(D111,Fixture!$A$5:$A$108,0)),"")</f>
        <v>46185</v>
      </c>
      <c r="I111" s="21"/>
      <c r="J111" s="21"/>
      <c r="K111" s="12" t="str">
        <f aca="false">IFERROR(INDEX(Fixture!$I$5:$I$108,MATCH(D111,Fixture!$A$5:$A$108,0))&amp;"-"&amp;INDEX(Fixture!$J$5:$J$108,MATCH(D111,Fixture!$A$5:$A$108,0)),"")</f>
        <v>-</v>
      </c>
      <c r="L111" s="11" t="str">
        <f aca="false">IF(M111&lt;&gt;"FINALIZADO","",IF(OR(ISBLANK(I111),ISBLANK(J111)),0,IF(AND(I111=IFERROR(INDEX(Fixture!$I$5:$I$108,MATCH(D111,Fixture!$A$5:$A$108,0)),"-999"),J111=IFERROR(INDEX(Fixture!$J$5:$J$108,MATCH(D111,Fixture!$A$5:$A$108,0)),"-999")),IFERROR(INDEX(Fases!$C$5:$C$10,MATCH(IFERROR(INDEX(Fixture!$B$5:$B$108,MATCH(D111,Fixture!$A$5:$A$108,0)),0),Fases!$A$5:$A$10,0)),0),IF(OR(AND(I111&gt;J111,IFERROR(INDEX(Fixture!$I$5:$I$108,MATCH(D111,Fixture!$A$5:$A$108,0)),0)&gt;IFERROR(INDEX(Fixture!$J$5:$J$108,MATCH(D111,Fixture!$A$5:$A$108,0)),0)),AND(I111&lt;J111,IFERROR(INDEX(Fixture!$I$5:$I$108,MATCH(D111,Fixture!$A$5:$A$108,0)),0)&lt;IFERROR(INDEX(Fixture!$J$5:$J$108,MATCH(D111,Fixture!$A$5:$A$108,0)),0)),AND(I111=J111,IFERROR(INDEX(Fixture!$I$5:$I$108,MATCH(D111,Fixture!$A$5:$A$108,0)),0)=IFERROR(INDEX(Fixture!$J$5:$J$108,MATCH(D111,Fixture!$A$5:$A$108,0)),0))),IFERROR(INDEX(Fases!$D$5:$D$10,MATCH(IFERROR(INDEX(Fixture!$B$5:$B$108,MATCH(D111,Fixture!$A$5:$A$108,0)),0),Fases!$A$5:$A$10,0)),0),0))))</f>
        <v/>
      </c>
      <c r="M111" s="12" t="str">
        <f aca="false">IFERROR(INDEX(Fixture!$K$5:$K$108,MATCH(D111,Fixture!$A$5:$A$108,0)),"")</f>
        <v>PENDIENTE</v>
      </c>
    </row>
    <row r="112" customFormat="false" ht="15" hidden="false" customHeight="false" outlineLevel="0" collapsed="false">
      <c r="A112" s="9" t="n">
        <v>108</v>
      </c>
      <c r="B112" s="9" t="n">
        <v>2</v>
      </c>
      <c r="C112" s="10" t="str">
        <f aca="false">IFERROR(INDEX(Usuarios!$C$5:$C$200,MATCH(B112,Usuarios!$A$5:$A$200,0)),"")</f>
        <v>mari23</v>
      </c>
      <c r="D112" s="9" t="n">
        <v>5</v>
      </c>
      <c r="E112" s="10" t="str">
        <f aca="false">IFERROR(INDEX(Fases!$B$5:$B$10,MATCH(INDEX(Fixture!$B$5:$B$108,MATCH(D112,Fixture!$A$5:$A$108,0)),Fases!$A$5:$A$10,0)),"")</f>
        <v>Grupos</v>
      </c>
      <c r="F112" s="10" t="str">
        <f aca="false">IFERROR(INDEX(Fixture!$E$5:$E$108,MATCH(D112,Fixture!$A$5:$A$108,0)),"")</f>
        <v>Bolivia</v>
      </c>
      <c r="G112" s="10" t="str">
        <f aca="false">IFERROR(INDEX(Fixture!$F$5:$F$108,MATCH(D112,Fixture!$A$5:$A$108,0)),"")</f>
        <v>Uruguay</v>
      </c>
      <c r="H112" s="22" t="n">
        <f aca="false">IFERROR(INDEX(Fixture!$G$5:$G$108,MATCH(D112,Fixture!$A$5:$A$108,0)),"")</f>
        <v>46185.625</v>
      </c>
      <c r="I112" s="23"/>
      <c r="J112" s="23"/>
      <c r="K112" s="10" t="str">
        <f aca="false">IFERROR(INDEX(Fixture!$I$5:$I$108,MATCH(D112,Fixture!$A$5:$A$108,0))&amp;"-"&amp;INDEX(Fixture!$J$5:$J$108,MATCH(D112,Fixture!$A$5:$A$108,0)),"")</f>
        <v>-</v>
      </c>
      <c r="L112" s="9" t="str">
        <f aca="false">IF(M112&lt;&gt;"FINALIZADO","",IF(OR(ISBLANK(I112),ISBLANK(J112)),0,IF(AND(I112=IFERROR(INDEX(Fixture!$I$5:$I$108,MATCH(D112,Fixture!$A$5:$A$108,0)),"-999"),J112=IFERROR(INDEX(Fixture!$J$5:$J$108,MATCH(D112,Fixture!$A$5:$A$108,0)),"-999")),IFERROR(INDEX(Fases!$C$5:$C$10,MATCH(IFERROR(INDEX(Fixture!$B$5:$B$108,MATCH(D112,Fixture!$A$5:$A$108,0)),0),Fases!$A$5:$A$10,0)),0),IF(OR(AND(I112&gt;J112,IFERROR(INDEX(Fixture!$I$5:$I$108,MATCH(D112,Fixture!$A$5:$A$108,0)),0)&gt;IFERROR(INDEX(Fixture!$J$5:$J$108,MATCH(D112,Fixture!$A$5:$A$108,0)),0)),AND(I112&lt;J112,IFERROR(INDEX(Fixture!$I$5:$I$108,MATCH(D112,Fixture!$A$5:$A$108,0)),0)&lt;IFERROR(INDEX(Fixture!$J$5:$J$108,MATCH(D112,Fixture!$A$5:$A$108,0)),0)),AND(I112=J112,IFERROR(INDEX(Fixture!$I$5:$I$108,MATCH(D112,Fixture!$A$5:$A$108,0)),0)=IFERROR(INDEX(Fixture!$J$5:$J$108,MATCH(D112,Fixture!$A$5:$A$108,0)),0))),IFERROR(INDEX(Fases!$D$5:$D$10,MATCH(IFERROR(INDEX(Fixture!$B$5:$B$108,MATCH(D112,Fixture!$A$5:$A$108,0)),0),Fases!$A$5:$A$10,0)),0),0))))</f>
        <v/>
      </c>
      <c r="M112" s="10" t="str">
        <f aca="false">IFERROR(INDEX(Fixture!$K$5:$K$108,MATCH(D112,Fixture!$A$5:$A$108,0)),"")</f>
        <v>PENDIENTE</v>
      </c>
    </row>
    <row r="113" customFormat="false" ht="15" hidden="false" customHeight="false" outlineLevel="0" collapsed="false">
      <c r="A113" s="11" t="n">
        <v>109</v>
      </c>
      <c r="B113" s="11" t="n">
        <v>2</v>
      </c>
      <c r="C113" s="12" t="str">
        <f aca="false">IFERROR(INDEX(Usuarios!$C$5:$C$200,MATCH(B113,Usuarios!$A$5:$A$200,0)),"")</f>
        <v>mari23</v>
      </c>
      <c r="D113" s="11" t="n">
        <v>6</v>
      </c>
      <c r="E113" s="12" t="str">
        <f aca="false">IFERROR(INDEX(Fases!$B$5:$B$10,MATCH(INDEX(Fixture!$B$5:$B$108,MATCH(D113,Fixture!$A$5:$A$108,0)),Fases!$A$5:$A$10,0)),"")</f>
        <v>Grupos</v>
      </c>
      <c r="F113" s="12" t="str">
        <f aca="false">IFERROR(INDEX(Fixture!$E$5:$E$108,MATCH(D113,Fixture!$A$5:$A$108,0)),"")</f>
        <v>Ecuador</v>
      </c>
      <c r="G113" s="12" t="str">
        <f aca="false">IFERROR(INDEX(Fixture!$F$5:$F$108,MATCH(D113,Fixture!$A$5:$A$108,0)),"")</f>
        <v>Uruguay</v>
      </c>
      <c r="H113" s="20" t="n">
        <f aca="false">IFERROR(INDEX(Fixture!$G$5:$G$108,MATCH(D113,Fixture!$A$5:$A$108,0)),"")</f>
        <v>46185.75</v>
      </c>
      <c r="I113" s="21"/>
      <c r="J113" s="21"/>
      <c r="K113" s="12" t="str">
        <f aca="false">IFERROR(INDEX(Fixture!$I$5:$I$108,MATCH(D113,Fixture!$A$5:$A$108,0))&amp;"-"&amp;INDEX(Fixture!$J$5:$J$108,MATCH(D113,Fixture!$A$5:$A$108,0)),"")</f>
        <v>-</v>
      </c>
      <c r="L113" s="11" t="str">
        <f aca="false">IF(M113&lt;&gt;"FINALIZADO","",IF(OR(ISBLANK(I113),ISBLANK(J113)),0,IF(AND(I113=IFERROR(INDEX(Fixture!$I$5:$I$108,MATCH(D113,Fixture!$A$5:$A$108,0)),"-999"),J113=IFERROR(INDEX(Fixture!$J$5:$J$108,MATCH(D113,Fixture!$A$5:$A$108,0)),"-999")),IFERROR(INDEX(Fases!$C$5:$C$10,MATCH(IFERROR(INDEX(Fixture!$B$5:$B$108,MATCH(D113,Fixture!$A$5:$A$108,0)),0),Fases!$A$5:$A$10,0)),0),IF(OR(AND(I113&gt;J113,IFERROR(INDEX(Fixture!$I$5:$I$108,MATCH(D113,Fixture!$A$5:$A$108,0)),0)&gt;IFERROR(INDEX(Fixture!$J$5:$J$108,MATCH(D113,Fixture!$A$5:$A$108,0)),0)),AND(I113&lt;J113,IFERROR(INDEX(Fixture!$I$5:$I$108,MATCH(D113,Fixture!$A$5:$A$108,0)),0)&lt;IFERROR(INDEX(Fixture!$J$5:$J$108,MATCH(D113,Fixture!$A$5:$A$108,0)),0)),AND(I113=J113,IFERROR(INDEX(Fixture!$I$5:$I$108,MATCH(D113,Fixture!$A$5:$A$108,0)),0)=IFERROR(INDEX(Fixture!$J$5:$J$108,MATCH(D113,Fixture!$A$5:$A$108,0)),0))),IFERROR(INDEX(Fases!$D$5:$D$10,MATCH(IFERROR(INDEX(Fixture!$B$5:$B$108,MATCH(D113,Fixture!$A$5:$A$108,0)),0),Fases!$A$5:$A$10,0)),0),0))))</f>
        <v/>
      </c>
      <c r="M113" s="12" t="str">
        <f aca="false">IFERROR(INDEX(Fixture!$K$5:$K$108,MATCH(D113,Fixture!$A$5:$A$108,0)),"")</f>
        <v>PENDIENTE</v>
      </c>
    </row>
    <row r="114" customFormat="false" ht="15" hidden="false" customHeight="false" outlineLevel="0" collapsed="false">
      <c r="A114" s="9" t="n">
        <v>110</v>
      </c>
      <c r="B114" s="9" t="n">
        <v>2</v>
      </c>
      <c r="C114" s="10" t="str">
        <f aca="false">IFERROR(INDEX(Usuarios!$C$5:$C$200,MATCH(B114,Usuarios!$A$5:$A$200,0)),"")</f>
        <v>mari23</v>
      </c>
      <c r="D114" s="9" t="n">
        <v>7</v>
      </c>
      <c r="E114" s="10" t="str">
        <f aca="false">IFERROR(INDEX(Fases!$B$5:$B$10,MATCH(INDEX(Fixture!$B$5:$B$108,MATCH(D114,Fixture!$A$5:$A$108,0)),Fases!$A$5:$A$10,0)),"")</f>
        <v>Grupos</v>
      </c>
      <c r="F114" s="10" t="str">
        <f aca="false">IFERROR(INDEX(Fixture!$E$5:$E$108,MATCH(D114,Fixture!$A$5:$A$108,0)),"")</f>
        <v>Brasil</v>
      </c>
      <c r="G114" s="10" t="str">
        <f aca="false">IFERROR(INDEX(Fixture!$F$5:$F$108,MATCH(D114,Fixture!$A$5:$A$108,0)),"")</f>
        <v>Colombia</v>
      </c>
      <c r="H114" s="22" t="n">
        <f aca="false">IFERROR(INDEX(Fixture!$G$5:$G$108,MATCH(D114,Fixture!$A$5:$A$108,0)),"")</f>
        <v>46186.625</v>
      </c>
      <c r="I114" s="23"/>
      <c r="J114" s="23"/>
      <c r="K114" s="10" t="str">
        <f aca="false">IFERROR(INDEX(Fixture!$I$5:$I$108,MATCH(D114,Fixture!$A$5:$A$108,0))&amp;"-"&amp;INDEX(Fixture!$J$5:$J$108,MATCH(D114,Fixture!$A$5:$A$108,0)),"")</f>
        <v>-</v>
      </c>
      <c r="L114" s="9" t="str">
        <f aca="false">IF(M114&lt;&gt;"FINALIZADO","",IF(OR(ISBLANK(I114),ISBLANK(J114)),0,IF(AND(I114=IFERROR(INDEX(Fixture!$I$5:$I$108,MATCH(D114,Fixture!$A$5:$A$108,0)),"-999"),J114=IFERROR(INDEX(Fixture!$J$5:$J$108,MATCH(D114,Fixture!$A$5:$A$108,0)),"-999")),IFERROR(INDEX(Fases!$C$5:$C$10,MATCH(IFERROR(INDEX(Fixture!$B$5:$B$108,MATCH(D114,Fixture!$A$5:$A$108,0)),0),Fases!$A$5:$A$10,0)),0),IF(OR(AND(I114&gt;J114,IFERROR(INDEX(Fixture!$I$5:$I$108,MATCH(D114,Fixture!$A$5:$A$108,0)),0)&gt;IFERROR(INDEX(Fixture!$J$5:$J$108,MATCH(D114,Fixture!$A$5:$A$108,0)),0)),AND(I114&lt;J114,IFERROR(INDEX(Fixture!$I$5:$I$108,MATCH(D114,Fixture!$A$5:$A$108,0)),0)&lt;IFERROR(INDEX(Fixture!$J$5:$J$108,MATCH(D114,Fixture!$A$5:$A$108,0)),0)),AND(I114=J114,IFERROR(INDEX(Fixture!$I$5:$I$108,MATCH(D114,Fixture!$A$5:$A$108,0)),0)=IFERROR(INDEX(Fixture!$J$5:$J$108,MATCH(D114,Fixture!$A$5:$A$108,0)),0))),IFERROR(INDEX(Fases!$D$5:$D$10,MATCH(IFERROR(INDEX(Fixture!$B$5:$B$108,MATCH(D114,Fixture!$A$5:$A$108,0)),0),Fases!$A$5:$A$10,0)),0),0))))</f>
        <v/>
      </c>
      <c r="M114" s="10" t="str">
        <f aca="false">IFERROR(INDEX(Fixture!$K$5:$K$108,MATCH(D114,Fixture!$A$5:$A$108,0)),"")</f>
        <v>PENDIENTE</v>
      </c>
    </row>
    <row r="115" customFormat="false" ht="15" hidden="false" customHeight="false" outlineLevel="0" collapsed="false">
      <c r="A115" s="11" t="n">
        <v>111</v>
      </c>
      <c r="B115" s="11" t="n">
        <v>2</v>
      </c>
      <c r="C115" s="12" t="str">
        <f aca="false">IFERROR(INDEX(Usuarios!$C$5:$C$200,MATCH(B115,Usuarios!$A$5:$A$200,0)),"")</f>
        <v>mari23</v>
      </c>
      <c r="D115" s="11" t="n">
        <v>8</v>
      </c>
      <c r="E115" s="12" t="str">
        <f aca="false">IFERROR(INDEX(Fases!$B$5:$B$10,MATCH(INDEX(Fixture!$B$5:$B$108,MATCH(D115,Fixture!$A$5:$A$108,0)),Fases!$A$5:$A$10,0)),"")</f>
        <v>Grupos</v>
      </c>
      <c r="F115" s="12" t="str">
        <f aca="false">IFERROR(INDEX(Fixture!$E$5:$E$108,MATCH(D115,Fixture!$A$5:$A$108,0)),"")</f>
        <v>Brasil</v>
      </c>
      <c r="G115" s="12" t="str">
        <f aca="false">IFERROR(INDEX(Fixture!$F$5:$F$108,MATCH(D115,Fixture!$A$5:$A$108,0)),"")</f>
        <v>Venezuela</v>
      </c>
      <c r="H115" s="20" t="n">
        <f aca="false">IFERROR(INDEX(Fixture!$G$5:$G$108,MATCH(D115,Fixture!$A$5:$A$108,0)),"")</f>
        <v>46186.75</v>
      </c>
      <c r="I115" s="21"/>
      <c r="J115" s="21"/>
      <c r="K115" s="12" t="str">
        <f aca="false">IFERROR(INDEX(Fixture!$I$5:$I$108,MATCH(D115,Fixture!$A$5:$A$108,0))&amp;"-"&amp;INDEX(Fixture!$J$5:$J$108,MATCH(D115,Fixture!$A$5:$A$108,0)),"")</f>
        <v>-</v>
      </c>
      <c r="L115" s="11" t="str">
        <f aca="false">IF(M115&lt;&gt;"FINALIZADO","",IF(OR(ISBLANK(I115),ISBLANK(J115)),0,IF(AND(I115=IFERROR(INDEX(Fixture!$I$5:$I$108,MATCH(D115,Fixture!$A$5:$A$108,0)),"-999"),J115=IFERROR(INDEX(Fixture!$J$5:$J$108,MATCH(D115,Fixture!$A$5:$A$108,0)),"-999")),IFERROR(INDEX(Fases!$C$5:$C$10,MATCH(IFERROR(INDEX(Fixture!$B$5:$B$108,MATCH(D115,Fixture!$A$5:$A$108,0)),0),Fases!$A$5:$A$10,0)),0),IF(OR(AND(I115&gt;J115,IFERROR(INDEX(Fixture!$I$5:$I$108,MATCH(D115,Fixture!$A$5:$A$108,0)),0)&gt;IFERROR(INDEX(Fixture!$J$5:$J$108,MATCH(D115,Fixture!$A$5:$A$108,0)),0)),AND(I115&lt;J115,IFERROR(INDEX(Fixture!$I$5:$I$108,MATCH(D115,Fixture!$A$5:$A$108,0)),0)&lt;IFERROR(INDEX(Fixture!$J$5:$J$108,MATCH(D115,Fixture!$A$5:$A$108,0)),0)),AND(I115=J115,IFERROR(INDEX(Fixture!$I$5:$I$108,MATCH(D115,Fixture!$A$5:$A$108,0)),0)=IFERROR(INDEX(Fixture!$J$5:$J$108,MATCH(D115,Fixture!$A$5:$A$108,0)),0))),IFERROR(INDEX(Fases!$D$5:$D$10,MATCH(IFERROR(INDEX(Fixture!$B$5:$B$108,MATCH(D115,Fixture!$A$5:$A$108,0)),0),Fases!$A$5:$A$10,0)),0),0))))</f>
        <v/>
      </c>
      <c r="M115" s="12" t="str">
        <f aca="false">IFERROR(INDEX(Fixture!$K$5:$K$108,MATCH(D115,Fixture!$A$5:$A$108,0)),"")</f>
        <v>PENDIENTE</v>
      </c>
    </row>
    <row r="116" customFormat="false" ht="15" hidden="false" customHeight="false" outlineLevel="0" collapsed="false">
      <c r="A116" s="9" t="n">
        <v>112</v>
      </c>
      <c r="B116" s="9" t="n">
        <v>2</v>
      </c>
      <c r="C116" s="10" t="str">
        <f aca="false">IFERROR(INDEX(Usuarios!$C$5:$C$200,MATCH(B116,Usuarios!$A$5:$A$200,0)),"")</f>
        <v>mari23</v>
      </c>
      <c r="D116" s="9" t="n">
        <v>9</v>
      </c>
      <c r="E116" s="10" t="str">
        <f aca="false">IFERROR(INDEX(Fases!$B$5:$B$10,MATCH(INDEX(Fixture!$B$5:$B$108,MATCH(D116,Fixture!$A$5:$A$108,0)),Fases!$A$5:$A$10,0)),"")</f>
        <v>Grupos</v>
      </c>
      <c r="F116" s="10" t="str">
        <f aca="false">IFERROR(INDEX(Fixture!$E$5:$E$108,MATCH(D116,Fixture!$A$5:$A$108,0)),"")</f>
        <v>Brasil</v>
      </c>
      <c r="G116" s="10" t="str">
        <f aca="false">IFERROR(INDEX(Fixture!$F$5:$F$108,MATCH(D116,Fixture!$A$5:$A$108,0)),"")</f>
        <v>Paraguay</v>
      </c>
      <c r="H116" s="22" t="n">
        <f aca="false">IFERROR(INDEX(Fixture!$G$5:$G$108,MATCH(D116,Fixture!$A$5:$A$108,0)),"")</f>
        <v>46186.875</v>
      </c>
      <c r="I116" s="23"/>
      <c r="J116" s="23"/>
      <c r="K116" s="10" t="str">
        <f aca="false">IFERROR(INDEX(Fixture!$I$5:$I$108,MATCH(D116,Fixture!$A$5:$A$108,0))&amp;"-"&amp;INDEX(Fixture!$J$5:$J$108,MATCH(D116,Fixture!$A$5:$A$108,0)),"")</f>
        <v>-</v>
      </c>
      <c r="L116" s="9" t="str">
        <f aca="false">IF(M116&lt;&gt;"FINALIZADO","",IF(OR(ISBLANK(I116),ISBLANK(J116)),0,IF(AND(I116=IFERROR(INDEX(Fixture!$I$5:$I$108,MATCH(D116,Fixture!$A$5:$A$108,0)),"-999"),J116=IFERROR(INDEX(Fixture!$J$5:$J$108,MATCH(D116,Fixture!$A$5:$A$108,0)),"-999")),IFERROR(INDEX(Fases!$C$5:$C$10,MATCH(IFERROR(INDEX(Fixture!$B$5:$B$108,MATCH(D116,Fixture!$A$5:$A$108,0)),0),Fases!$A$5:$A$10,0)),0),IF(OR(AND(I116&gt;J116,IFERROR(INDEX(Fixture!$I$5:$I$108,MATCH(D116,Fixture!$A$5:$A$108,0)),0)&gt;IFERROR(INDEX(Fixture!$J$5:$J$108,MATCH(D116,Fixture!$A$5:$A$108,0)),0)),AND(I116&lt;J116,IFERROR(INDEX(Fixture!$I$5:$I$108,MATCH(D116,Fixture!$A$5:$A$108,0)),0)&lt;IFERROR(INDEX(Fixture!$J$5:$J$108,MATCH(D116,Fixture!$A$5:$A$108,0)),0)),AND(I116=J116,IFERROR(INDEX(Fixture!$I$5:$I$108,MATCH(D116,Fixture!$A$5:$A$108,0)),0)=IFERROR(INDEX(Fixture!$J$5:$J$108,MATCH(D116,Fixture!$A$5:$A$108,0)),0))),IFERROR(INDEX(Fases!$D$5:$D$10,MATCH(IFERROR(INDEX(Fixture!$B$5:$B$108,MATCH(D116,Fixture!$A$5:$A$108,0)),0),Fases!$A$5:$A$10,0)),0),0))))</f>
        <v/>
      </c>
      <c r="M116" s="10" t="str">
        <f aca="false">IFERROR(INDEX(Fixture!$K$5:$K$108,MATCH(D116,Fixture!$A$5:$A$108,0)),"")</f>
        <v>PENDIENTE</v>
      </c>
    </row>
    <row r="117" customFormat="false" ht="15" hidden="false" customHeight="false" outlineLevel="0" collapsed="false">
      <c r="A117" s="11" t="n">
        <v>113</v>
      </c>
      <c r="B117" s="11" t="n">
        <v>2</v>
      </c>
      <c r="C117" s="12" t="str">
        <f aca="false">IFERROR(INDEX(Usuarios!$C$5:$C$200,MATCH(B117,Usuarios!$A$5:$A$200,0)),"")</f>
        <v>mari23</v>
      </c>
      <c r="D117" s="11" t="n">
        <v>10</v>
      </c>
      <c r="E117" s="12" t="str">
        <f aca="false">IFERROR(INDEX(Fases!$B$5:$B$10,MATCH(INDEX(Fixture!$B$5:$B$108,MATCH(D117,Fixture!$A$5:$A$108,0)),Fases!$A$5:$A$10,0)),"")</f>
        <v>Grupos</v>
      </c>
      <c r="F117" s="12" t="str">
        <f aca="false">IFERROR(INDEX(Fixture!$E$5:$E$108,MATCH(D117,Fixture!$A$5:$A$108,0)),"")</f>
        <v>Colombia</v>
      </c>
      <c r="G117" s="12" t="str">
        <f aca="false">IFERROR(INDEX(Fixture!$F$5:$F$108,MATCH(D117,Fixture!$A$5:$A$108,0)),"")</f>
        <v>Venezuela</v>
      </c>
      <c r="H117" s="20" t="n">
        <f aca="false">IFERROR(INDEX(Fixture!$G$5:$G$108,MATCH(D117,Fixture!$A$5:$A$108,0)),"")</f>
        <v>46187</v>
      </c>
      <c r="I117" s="21"/>
      <c r="J117" s="21"/>
      <c r="K117" s="12" t="str">
        <f aca="false">IFERROR(INDEX(Fixture!$I$5:$I$108,MATCH(D117,Fixture!$A$5:$A$108,0))&amp;"-"&amp;INDEX(Fixture!$J$5:$J$108,MATCH(D117,Fixture!$A$5:$A$108,0)),"")</f>
        <v>-</v>
      </c>
      <c r="L117" s="11" t="str">
        <f aca="false">IF(M117&lt;&gt;"FINALIZADO","",IF(OR(ISBLANK(I117),ISBLANK(J117)),0,IF(AND(I117=IFERROR(INDEX(Fixture!$I$5:$I$108,MATCH(D117,Fixture!$A$5:$A$108,0)),"-999"),J117=IFERROR(INDEX(Fixture!$J$5:$J$108,MATCH(D117,Fixture!$A$5:$A$108,0)),"-999")),IFERROR(INDEX(Fases!$C$5:$C$10,MATCH(IFERROR(INDEX(Fixture!$B$5:$B$108,MATCH(D117,Fixture!$A$5:$A$108,0)),0),Fases!$A$5:$A$10,0)),0),IF(OR(AND(I117&gt;J117,IFERROR(INDEX(Fixture!$I$5:$I$108,MATCH(D117,Fixture!$A$5:$A$108,0)),0)&gt;IFERROR(INDEX(Fixture!$J$5:$J$108,MATCH(D117,Fixture!$A$5:$A$108,0)),0)),AND(I117&lt;J117,IFERROR(INDEX(Fixture!$I$5:$I$108,MATCH(D117,Fixture!$A$5:$A$108,0)),0)&lt;IFERROR(INDEX(Fixture!$J$5:$J$108,MATCH(D117,Fixture!$A$5:$A$108,0)),0)),AND(I117=J117,IFERROR(INDEX(Fixture!$I$5:$I$108,MATCH(D117,Fixture!$A$5:$A$108,0)),0)=IFERROR(INDEX(Fixture!$J$5:$J$108,MATCH(D117,Fixture!$A$5:$A$108,0)),0))),IFERROR(INDEX(Fases!$D$5:$D$10,MATCH(IFERROR(INDEX(Fixture!$B$5:$B$108,MATCH(D117,Fixture!$A$5:$A$108,0)),0),Fases!$A$5:$A$10,0)),0),0))))</f>
        <v/>
      </c>
      <c r="M117" s="12" t="str">
        <f aca="false">IFERROR(INDEX(Fixture!$K$5:$K$108,MATCH(D117,Fixture!$A$5:$A$108,0)),"")</f>
        <v>PENDIENTE</v>
      </c>
    </row>
    <row r="118" customFormat="false" ht="15" hidden="false" customHeight="false" outlineLevel="0" collapsed="false">
      <c r="A118" s="9" t="n">
        <v>114</v>
      </c>
      <c r="B118" s="9" t="n">
        <v>2</v>
      </c>
      <c r="C118" s="10" t="str">
        <f aca="false">IFERROR(INDEX(Usuarios!$C$5:$C$200,MATCH(B118,Usuarios!$A$5:$A$200,0)),"")</f>
        <v>mari23</v>
      </c>
      <c r="D118" s="9" t="n">
        <v>11</v>
      </c>
      <c r="E118" s="10" t="str">
        <f aca="false">IFERROR(INDEX(Fases!$B$5:$B$10,MATCH(INDEX(Fixture!$B$5:$B$108,MATCH(D118,Fixture!$A$5:$A$108,0)),Fases!$A$5:$A$10,0)),"")</f>
        <v>Grupos</v>
      </c>
      <c r="F118" s="10" t="str">
        <f aca="false">IFERROR(INDEX(Fixture!$E$5:$E$108,MATCH(D118,Fixture!$A$5:$A$108,0)),"")</f>
        <v>Colombia</v>
      </c>
      <c r="G118" s="10" t="str">
        <f aca="false">IFERROR(INDEX(Fixture!$F$5:$F$108,MATCH(D118,Fixture!$A$5:$A$108,0)),"")</f>
        <v>Paraguay</v>
      </c>
      <c r="H118" s="22" t="n">
        <f aca="false">IFERROR(INDEX(Fixture!$G$5:$G$108,MATCH(D118,Fixture!$A$5:$A$108,0)),"")</f>
        <v>46187.625</v>
      </c>
      <c r="I118" s="23"/>
      <c r="J118" s="23"/>
      <c r="K118" s="10" t="str">
        <f aca="false">IFERROR(INDEX(Fixture!$I$5:$I$108,MATCH(D118,Fixture!$A$5:$A$108,0))&amp;"-"&amp;INDEX(Fixture!$J$5:$J$108,MATCH(D118,Fixture!$A$5:$A$108,0)),"")</f>
        <v>-</v>
      </c>
      <c r="L118" s="9" t="str">
        <f aca="false">IF(M118&lt;&gt;"FINALIZADO","",IF(OR(ISBLANK(I118),ISBLANK(J118)),0,IF(AND(I118=IFERROR(INDEX(Fixture!$I$5:$I$108,MATCH(D118,Fixture!$A$5:$A$108,0)),"-999"),J118=IFERROR(INDEX(Fixture!$J$5:$J$108,MATCH(D118,Fixture!$A$5:$A$108,0)),"-999")),IFERROR(INDEX(Fases!$C$5:$C$10,MATCH(IFERROR(INDEX(Fixture!$B$5:$B$108,MATCH(D118,Fixture!$A$5:$A$108,0)),0),Fases!$A$5:$A$10,0)),0),IF(OR(AND(I118&gt;J118,IFERROR(INDEX(Fixture!$I$5:$I$108,MATCH(D118,Fixture!$A$5:$A$108,0)),0)&gt;IFERROR(INDEX(Fixture!$J$5:$J$108,MATCH(D118,Fixture!$A$5:$A$108,0)),0)),AND(I118&lt;J118,IFERROR(INDEX(Fixture!$I$5:$I$108,MATCH(D118,Fixture!$A$5:$A$108,0)),0)&lt;IFERROR(INDEX(Fixture!$J$5:$J$108,MATCH(D118,Fixture!$A$5:$A$108,0)),0)),AND(I118=J118,IFERROR(INDEX(Fixture!$I$5:$I$108,MATCH(D118,Fixture!$A$5:$A$108,0)),0)=IFERROR(INDEX(Fixture!$J$5:$J$108,MATCH(D118,Fixture!$A$5:$A$108,0)),0))),IFERROR(INDEX(Fases!$D$5:$D$10,MATCH(IFERROR(INDEX(Fixture!$B$5:$B$108,MATCH(D118,Fixture!$A$5:$A$108,0)),0),Fases!$A$5:$A$10,0)),0),0))))</f>
        <v/>
      </c>
      <c r="M118" s="10" t="str">
        <f aca="false">IFERROR(INDEX(Fixture!$K$5:$K$108,MATCH(D118,Fixture!$A$5:$A$108,0)),"")</f>
        <v>PENDIENTE</v>
      </c>
    </row>
    <row r="119" customFormat="false" ht="15" hidden="false" customHeight="false" outlineLevel="0" collapsed="false">
      <c r="A119" s="11" t="n">
        <v>115</v>
      </c>
      <c r="B119" s="11" t="n">
        <v>2</v>
      </c>
      <c r="C119" s="12" t="str">
        <f aca="false">IFERROR(INDEX(Usuarios!$C$5:$C$200,MATCH(B119,Usuarios!$A$5:$A$200,0)),"")</f>
        <v>mari23</v>
      </c>
      <c r="D119" s="11" t="n">
        <v>12</v>
      </c>
      <c r="E119" s="12" t="str">
        <f aca="false">IFERROR(INDEX(Fases!$B$5:$B$10,MATCH(INDEX(Fixture!$B$5:$B$108,MATCH(D119,Fixture!$A$5:$A$108,0)),Fases!$A$5:$A$10,0)),"")</f>
        <v>Grupos</v>
      </c>
      <c r="F119" s="12" t="str">
        <f aca="false">IFERROR(INDEX(Fixture!$E$5:$E$108,MATCH(D119,Fixture!$A$5:$A$108,0)),"")</f>
        <v>Venezuela</v>
      </c>
      <c r="G119" s="12" t="str">
        <f aca="false">IFERROR(INDEX(Fixture!$F$5:$F$108,MATCH(D119,Fixture!$A$5:$A$108,0)),"")</f>
        <v>Paraguay</v>
      </c>
      <c r="H119" s="20" t="n">
        <f aca="false">IFERROR(INDEX(Fixture!$G$5:$G$108,MATCH(D119,Fixture!$A$5:$A$108,0)),"")</f>
        <v>46187.75</v>
      </c>
      <c r="I119" s="21"/>
      <c r="J119" s="21"/>
      <c r="K119" s="12" t="str">
        <f aca="false">IFERROR(INDEX(Fixture!$I$5:$I$108,MATCH(D119,Fixture!$A$5:$A$108,0))&amp;"-"&amp;INDEX(Fixture!$J$5:$J$108,MATCH(D119,Fixture!$A$5:$A$108,0)),"")</f>
        <v>-</v>
      </c>
      <c r="L119" s="11" t="str">
        <f aca="false">IF(M119&lt;&gt;"FINALIZADO","",IF(OR(ISBLANK(I119),ISBLANK(J119)),0,IF(AND(I119=IFERROR(INDEX(Fixture!$I$5:$I$108,MATCH(D119,Fixture!$A$5:$A$108,0)),"-999"),J119=IFERROR(INDEX(Fixture!$J$5:$J$108,MATCH(D119,Fixture!$A$5:$A$108,0)),"-999")),IFERROR(INDEX(Fases!$C$5:$C$10,MATCH(IFERROR(INDEX(Fixture!$B$5:$B$108,MATCH(D119,Fixture!$A$5:$A$108,0)),0),Fases!$A$5:$A$10,0)),0),IF(OR(AND(I119&gt;J119,IFERROR(INDEX(Fixture!$I$5:$I$108,MATCH(D119,Fixture!$A$5:$A$108,0)),0)&gt;IFERROR(INDEX(Fixture!$J$5:$J$108,MATCH(D119,Fixture!$A$5:$A$108,0)),0)),AND(I119&lt;J119,IFERROR(INDEX(Fixture!$I$5:$I$108,MATCH(D119,Fixture!$A$5:$A$108,0)),0)&lt;IFERROR(INDEX(Fixture!$J$5:$J$108,MATCH(D119,Fixture!$A$5:$A$108,0)),0)),AND(I119=J119,IFERROR(INDEX(Fixture!$I$5:$I$108,MATCH(D119,Fixture!$A$5:$A$108,0)),0)=IFERROR(INDEX(Fixture!$J$5:$J$108,MATCH(D119,Fixture!$A$5:$A$108,0)),0))),IFERROR(INDEX(Fases!$D$5:$D$10,MATCH(IFERROR(INDEX(Fixture!$B$5:$B$108,MATCH(D119,Fixture!$A$5:$A$108,0)),0),Fases!$A$5:$A$10,0)),0),0))))</f>
        <v/>
      </c>
      <c r="M119" s="12" t="str">
        <f aca="false">IFERROR(INDEX(Fixture!$K$5:$K$108,MATCH(D119,Fixture!$A$5:$A$108,0)),"")</f>
        <v>PENDIENTE</v>
      </c>
    </row>
    <row r="120" customFormat="false" ht="15" hidden="false" customHeight="false" outlineLevel="0" collapsed="false">
      <c r="A120" s="9" t="n">
        <v>116</v>
      </c>
      <c r="B120" s="9" t="n">
        <v>2</v>
      </c>
      <c r="C120" s="10" t="str">
        <f aca="false">IFERROR(INDEX(Usuarios!$C$5:$C$200,MATCH(B120,Usuarios!$A$5:$A$200,0)),"")</f>
        <v>mari23</v>
      </c>
      <c r="D120" s="9" t="n">
        <v>13</v>
      </c>
      <c r="E120" s="10" t="str">
        <f aca="false">IFERROR(INDEX(Fases!$B$5:$B$10,MATCH(INDEX(Fixture!$B$5:$B$108,MATCH(D120,Fixture!$A$5:$A$108,0)),Fases!$A$5:$A$10,0)),"")</f>
        <v>Grupos</v>
      </c>
      <c r="F120" s="10" t="str">
        <f aca="false">IFERROR(INDEX(Fixture!$E$5:$E$108,MATCH(D120,Fixture!$A$5:$A$108,0)),"")</f>
        <v>México</v>
      </c>
      <c r="G120" s="10" t="str">
        <f aca="false">IFERROR(INDEX(Fixture!$F$5:$F$108,MATCH(D120,Fixture!$A$5:$A$108,0)),"")</f>
        <v>Estados Unidos</v>
      </c>
      <c r="H120" s="22" t="n">
        <f aca="false">IFERROR(INDEX(Fixture!$G$5:$G$108,MATCH(D120,Fixture!$A$5:$A$108,0)),"")</f>
        <v>46188.625</v>
      </c>
      <c r="I120" s="23"/>
      <c r="J120" s="23"/>
      <c r="K120" s="10" t="str">
        <f aca="false">IFERROR(INDEX(Fixture!$I$5:$I$108,MATCH(D120,Fixture!$A$5:$A$108,0))&amp;"-"&amp;INDEX(Fixture!$J$5:$J$108,MATCH(D120,Fixture!$A$5:$A$108,0)),"")</f>
        <v>-</v>
      </c>
      <c r="L120" s="9" t="str">
        <f aca="false">IF(M120&lt;&gt;"FINALIZADO","",IF(OR(ISBLANK(I120),ISBLANK(J120)),0,IF(AND(I120=IFERROR(INDEX(Fixture!$I$5:$I$108,MATCH(D120,Fixture!$A$5:$A$108,0)),"-999"),J120=IFERROR(INDEX(Fixture!$J$5:$J$108,MATCH(D120,Fixture!$A$5:$A$108,0)),"-999")),IFERROR(INDEX(Fases!$C$5:$C$10,MATCH(IFERROR(INDEX(Fixture!$B$5:$B$108,MATCH(D120,Fixture!$A$5:$A$108,0)),0),Fases!$A$5:$A$10,0)),0),IF(OR(AND(I120&gt;J120,IFERROR(INDEX(Fixture!$I$5:$I$108,MATCH(D120,Fixture!$A$5:$A$108,0)),0)&gt;IFERROR(INDEX(Fixture!$J$5:$J$108,MATCH(D120,Fixture!$A$5:$A$108,0)),0)),AND(I120&lt;J120,IFERROR(INDEX(Fixture!$I$5:$I$108,MATCH(D120,Fixture!$A$5:$A$108,0)),0)&lt;IFERROR(INDEX(Fixture!$J$5:$J$108,MATCH(D120,Fixture!$A$5:$A$108,0)),0)),AND(I120=J120,IFERROR(INDEX(Fixture!$I$5:$I$108,MATCH(D120,Fixture!$A$5:$A$108,0)),0)=IFERROR(INDEX(Fixture!$J$5:$J$108,MATCH(D120,Fixture!$A$5:$A$108,0)),0))),IFERROR(INDEX(Fases!$D$5:$D$10,MATCH(IFERROR(INDEX(Fixture!$B$5:$B$108,MATCH(D120,Fixture!$A$5:$A$108,0)),0),Fases!$A$5:$A$10,0)),0),0))))</f>
        <v/>
      </c>
      <c r="M120" s="10" t="str">
        <f aca="false">IFERROR(INDEX(Fixture!$K$5:$K$108,MATCH(D120,Fixture!$A$5:$A$108,0)),"")</f>
        <v>PENDIENTE</v>
      </c>
    </row>
    <row r="121" customFormat="false" ht="15" hidden="false" customHeight="false" outlineLevel="0" collapsed="false">
      <c r="A121" s="11" t="n">
        <v>117</v>
      </c>
      <c r="B121" s="11" t="n">
        <v>2</v>
      </c>
      <c r="C121" s="12" t="str">
        <f aca="false">IFERROR(INDEX(Usuarios!$C$5:$C$200,MATCH(B121,Usuarios!$A$5:$A$200,0)),"")</f>
        <v>mari23</v>
      </c>
      <c r="D121" s="11" t="n">
        <v>14</v>
      </c>
      <c r="E121" s="12" t="str">
        <f aca="false">IFERROR(INDEX(Fases!$B$5:$B$10,MATCH(INDEX(Fixture!$B$5:$B$108,MATCH(D121,Fixture!$A$5:$A$108,0)),Fases!$A$5:$A$10,0)),"")</f>
        <v>Grupos</v>
      </c>
      <c r="F121" s="12" t="str">
        <f aca="false">IFERROR(INDEX(Fixture!$E$5:$E$108,MATCH(D121,Fixture!$A$5:$A$108,0)),"")</f>
        <v>México</v>
      </c>
      <c r="G121" s="12" t="str">
        <f aca="false">IFERROR(INDEX(Fixture!$F$5:$F$108,MATCH(D121,Fixture!$A$5:$A$108,0)),"")</f>
        <v>Canadá</v>
      </c>
      <c r="H121" s="20" t="n">
        <f aca="false">IFERROR(INDEX(Fixture!$G$5:$G$108,MATCH(D121,Fixture!$A$5:$A$108,0)),"")</f>
        <v>46188.75</v>
      </c>
      <c r="I121" s="21"/>
      <c r="J121" s="21"/>
      <c r="K121" s="12" t="str">
        <f aca="false">IFERROR(INDEX(Fixture!$I$5:$I$108,MATCH(D121,Fixture!$A$5:$A$108,0))&amp;"-"&amp;INDEX(Fixture!$J$5:$J$108,MATCH(D121,Fixture!$A$5:$A$108,0)),"")</f>
        <v>-</v>
      </c>
      <c r="L121" s="11" t="str">
        <f aca="false">IF(M121&lt;&gt;"FINALIZADO","",IF(OR(ISBLANK(I121),ISBLANK(J121)),0,IF(AND(I121=IFERROR(INDEX(Fixture!$I$5:$I$108,MATCH(D121,Fixture!$A$5:$A$108,0)),"-999"),J121=IFERROR(INDEX(Fixture!$J$5:$J$108,MATCH(D121,Fixture!$A$5:$A$108,0)),"-999")),IFERROR(INDEX(Fases!$C$5:$C$10,MATCH(IFERROR(INDEX(Fixture!$B$5:$B$108,MATCH(D121,Fixture!$A$5:$A$108,0)),0),Fases!$A$5:$A$10,0)),0),IF(OR(AND(I121&gt;J121,IFERROR(INDEX(Fixture!$I$5:$I$108,MATCH(D121,Fixture!$A$5:$A$108,0)),0)&gt;IFERROR(INDEX(Fixture!$J$5:$J$108,MATCH(D121,Fixture!$A$5:$A$108,0)),0)),AND(I121&lt;J121,IFERROR(INDEX(Fixture!$I$5:$I$108,MATCH(D121,Fixture!$A$5:$A$108,0)),0)&lt;IFERROR(INDEX(Fixture!$J$5:$J$108,MATCH(D121,Fixture!$A$5:$A$108,0)),0)),AND(I121=J121,IFERROR(INDEX(Fixture!$I$5:$I$108,MATCH(D121,Fixture!$A$5:$A$108,0)),0)=IFERROR(INDEX(Fixture!$J$5:$J$108,MATCH(D121,Fixture!$A$5:$A$108,0)),0))),IFERROR(INDEX(Fases!$D$5:$D$10,MATCH(IFERROR(INDEX(Fixture!$B$5:$B$108,MATCH(D121,Fixture!$A$5:$A$108,0)),0),Fases!$A$5:$A$10,0)),0),0))))</f>
        <v/>
      </c>
      <c r="M121" s="12" t="str">
        <f aca="false">IFERROR(INDEX(Fixture!$K$5:$K$108,MATCH(D121,Fixture!$A$5:$A$108,0)),"")</f>
        <v>PENDIENTE</v>
      </c>
    </row>
    <row r="122" customFormat="false" ht="15" hidden="false" customHeight="false" outlineLevel="0" collapsed="false">
      <c r="A122" s="9" t="n">
        <v>118</v>
      </c>
      <c r="B122" s="9" t="n">
        <v>2</v>
      </c>
      <c r="C122" s="10" t="str">
        <f aca="false">IFERROR(INDEX(Usuarios!$C$5:$C$200,MATCH(B122,Usuarios!$A$5:$A$200,0)),"")</f>
        <v>mari23</v>
      </c>
      <c r="D122" s="9" t="n">
        <v>15</v>
      </c>
      <c r="E122" s="10" t="str">
        <f aca="false">IFERROR(INDEX(Fases!$B$5:$B$10,MATCH(INDEX(Fixture!$B$5:$B$108,MATCH(D122,Fixture!$A$5:$A$108,0)),Fases!$A$5:$A$10,0)),"")</f>
        <v>Grupos</v>
      </c>
      <c r="F122" s="10" t="str">
        <f aca="false">IFERROR(INDEX(Fixture!$E$5:$E$108,MATCH(D122,Fixture!$A$5:$A$108,0)),"")</f>
        <v>México</v>
      </c>
      <c r="G122" s="10" t="str">
        <f aca="false">IFERROR(INDEX(Fixture!$F$5:$F$108,MATCH(D122,Fixture!$A$5:$A$108,0)),"")</f>
        <v>Costa Rica</v>
      </c>
      <c r="H122" s="22" t="n">
        <f aca="false">IFERROR(INDEX(Fixture!$G$5:$G$108,MATCH(D122,Fixture!$A$5:$A$108,0)),"")</f>
        <v>46188.875</v>
      </c>
      <c r="I122" s="23"/>
      <c r="J122" s="23"/>
      <c r="K122" s="10" t="str">
        <f aca="false">IFERROR(INDEX(Fixture!$I$5:$I$108,MATCH(D122,Fixture!$A$5:$A$108,0))&amp;"-"&amp;INDEX(Fixture!$J$5:$J$108,MATCH(D122,Fixture!$A$5:$A$108,0)),"")</f>
        <v>-</v>
      </c>
      <c r="L122" s="9" t="str">
        <f aca="false">IF(M122&lt;&gt;"FINALIZADO","",IF(OR(ISBLANK(I122),ISBLANK(J122)),0,IF(AND(I122=IFERROR(INDEX(Fixture!$I$5:$I$108,MATCH(D122,Fixture!$A$5:$A$108,0)),"-999"),J122=IFERROR(INDEX(Fixture!$J$5:$J$108,MATCH(D122,Fixture!$A$5:$A$108,0)),"-999")),IFERROR(INDEX(Fases!$C$5:$C$10,MATCH(IFERROR(INDEX(Fixture!$B$5:$B$108,MATCH(D122,Fixture!$A$5:$A$108,0)),0),Fases!$A$5:$A$10,0)),0),IF(OR(AND(I122&gt;J122,IFERROR(INDEX(Fixture!$I$5:$I$108,MATCH(D122,Fixture!$A$5:$A$108,0)),0)&gt;IFERROR(INDEX(Fixture!$J$5:$J$108,MATCH(D122,Fixture!$A$5:$A$108,0)),0)),AND(I122&lt;J122,IFERROR(INDEX(Fixture!$I$5:$I$108,MATCH(D122,Fixture!$A$5:$A$108,0)),0)&lt;IFERROR(INDEX(Fixture!$J$5:$J$108,MATCH(D122,Fixture!$A$5:$A$108,0)),0)),AND(I122=J122,IFERROR(INDEX(Fixture!$I$5:$I$108,MATCH(D122,Fixture!$A$5:$A$108,0)),0)=IFERROR(INDEX(Fixture!$J$5:$J$108,MATCH(D122,Fixture!$A$5:$A$108,0)),0))),IFERROR(INDEX(Fases!$D$5:$D$10,MATCH(IFERROR(INDEX(Fixture!$B$5:$B$108,MATCH(D122,Fixture!$A$5:$A$108,0)),0),Fases!$A$5:$A$10,0)),0),0))))</f>
        <v/>
      </c>
      <c r="M122" s="10" t="str">
        <f aca="false">IFERROR(INDEX(Fixture!$K$5:$K$108,MATCH(D122,Fixture!$A$5:$A$108,0)),"")</f>
        <v>PENDIENTE</v>
      </c>
    </row>
    <row r="123" customFormat="false" ht="15" hidden="false" customHeight="false" outlineLevel="0" collapsed="false">
      <c r="A123" s="11" t="n">
        <v>119</v>
      </c>
      <c r="B123" s="11" t="n">
        <v>2</v>
      </c>
      <c r="C123" s="12" t="str">
        <f aca="false">IFERROR(INDEX(Usuarios!$C$5:$C$200,MATCH(B123,Usuarios!$A$5:$A$200,0)),"")</f>
        <v>mari23</v>
      </c>
      <c r="D123" s="11" t="n">
        <v>16</v>
      </c>
      <c r="E123" s="12" t="str">
        <f aca="false">IFERROR(INDEX(Fases!$B$5:$B$10,MATCH(INDEX(Fixture!$B$5:$B$108,MATCH(D123,Fixture!$A$5:$A$108,0)),Fases!$A$5:$A$10,0)),"")</f>
        <v>Grupos</v>
      </c>
      <c r="F123" s="12" t="str">
        <f aca="false">IFERROR(INDEX(Fixture!$E$5:$E$108,MATCH(D123,Fixture!$A$5:$A$108,0)),"")</f>
        <v>Estados Unidos</v>
      </c>
      <c r="G123" s="12" t="str">
        <f aca="false">IFERROR(INDEX(Fixture!$F$5:$F$108,MATCH(D123,Fixture!$A$5:$A$108,0)),"")</f>
        <v>Canadá</v>
      </c>
      <c r="H123" s="20" t="n">
        <f aca="false">IFERROR(INDEX(Fixture!$G$5:$G$108,MATCH(D123,Fixture!$A$5:$A$108,0)),"")</f>
        <v>46189</v>
      </c>
      <c r="I123" s="21"/>
      <c r="J123" s="21"/>
      <c r="K123" s="12" t="str">
        <f aca="false">IFERROR(INDEX(Fixture!$I$5:$I$108,MATCH(D123,Fixture!$A$5:$A$108,0))&amp;"-"&amp;INDEX(Fixture!$J$5:$J$108,MATCH(D123,Fixture!$A$5:$A$108,0)),"")</f>
        <v>-</v>
      </c>
      <c r="L123" s="11" t="str">
        <f aca="false">IF(M123&lt;&gt;"FINALIZADO","",IF(OR(ISBLANK(I123),ISBLANK(J123)),0,IF(AND(I123=IFERROR(INDEX(Fixture!$I$5:$I$108,MATCH(D123,Fixture!$A$5:$A$108,0)),"-999"),J123=IFERROR(INDEX(Fixture!$J$5:$J$108,MATCH(D123,Fixture!$A$5:$A$108,0)),"-999")),IFERROR(INDEX(Fases!$C$5:$C$10,MATCH(IFERROR(INDEX(Fixture!$B$5:$B$108,MATCH(D123,Fixture!$A$5:$A$108,0)),0),Fases!$A$5:$A$10,0)),0),IF(OR(AND(I123&gt;J123,IFERROR(INDEX(Fixture!$I$5:$I$108,MATCH(D123,Fixture!$A$5:$A$108,0)),0)&gt;IFERROR(INDEX(Fixture!$J$5:$J$108,MATCH(D123,Fixture!$A$5:$A$108,0)),0)),AND(I123&lt;J123,IFERROR(INDEX(Fixture!$I$5:$I$108,MATCH(D123,Fixture!$A$5:$A$108,0)),0)&lt;IFERROR(INDEX(Fixture!$J$5:$J$108,MATCH(D123,Fixture!$A$5:$A$108,0)),0)),AND(I123=J123,IFERROR(INDEX(Fixture!$I$5:$I$108,MATCH(D123,Fixture!$A$5:$A$108,0)),0)=IFERROR(INDEX(Fixture!$J$5:$J$108,MATCH(D123,Fixture!$A$5:$A$108,0)),0))),IFERROR(INDEX(Fases!$D$5:$D$10,MATCH(IFERROR(INDEX(Fixture!$B$5:$B$108,MATCH(D123,Fixture!$A$5:$A$108,0)),0),Fases!$A$5:$A$10,0)),0),0))))</f>
        <v/>
      </c>
      <c r="M123" s="12" t="str">
        <f aca="false">IFERROR(INDEX(Fixture!$K$5:$K$108,MATCH(D123,Fixture!$A$5:$A$108,0)),"")</f>
        <v>PENDIENTE</v>
      </c>
    </row>
    <row r="124" customFormat="false" ht="15" hidden="false" customHeight="false" outlineLevel="0" collapsed="false">
      <c r="A124" s="9" t="n">
        <v>120</v>
      </c>
      <c r="B124" s="9" t="n">
        <v>2</v>
      </c>
      <c r="C124" s="10" t="str">
        <f aca="false">IFERROR(INDEX(Usuarios!$C$5:$C$200,MATCH(B124,Usuarios!$A$5:$A$200,0)),"")</f>
        <v>mari23</v>
      </c>
      <c r="D124" s="9" t="n">
        <v>17</v>
      </c>
      <c r="E124" s="10" t="str">
        <f aca="false">IFERROR(INDEX(Fases!$B$5:$B$10,MATCH(INDEX(Fixture!$B$5:$B$108,MATCH(D124,Fixture!$A$5:$A$108,0)),Fases!$A$5:$A$10,0)),"")</f>
        <v>Grupos</v>
      </c>
      <c r="F124" s="10" t="str">
        <f aca="false">IFERROR(INDEX(Fixture!$E$5:$E$108,MATCH(D124,Fixture!$A$5:$A$108,0)),"")</f>
        <v>Estados Unidos</v>
      </c>
      <c r="G124" s="10" t="str">
        <f aca="false">IFERROR(INDEX(Fixture!$F$5:$F$108,MATCH(D124,Fixture!$A$5:$A$108,0)),"")</f>
        <v>Costa Rica</v>
      </c>
      <c r="H124" s="22" t="n">
        <f aca="false">IFERROR(INDEX(Fixture!$G$5:$G$108,MATCH(D124,Fixture!$A$5:$A$108,0)),"")</f>
        <v>46189.625</v>
      </c>
      <c r="I124" s="23"/>
      <c r="J124" s="23"/>
      <c r="K124" s="10" t="str">
        <f aca="false">IFERROR(INDEX(Fixture!$I$5:$I$108,MATCH(D124,Fixture!$A$5:$A$108,0))&amp;"-"&amp;INDEX(Fixture!$J$5:$J$108,MATCH(D124,Fixture!$A$5:$A$108,0)),"")</f>
        <v>-</v>
      </c>
      <c r="L124" s="9" t="str">
        <f aca="false">IF(M124&lt;&gt;"FINALIZADO","",IF(OR(ISBLANK(I124),ISBLANK(J124)),0,IF(AND(I124=IFERROR(INDEX(Fixture!$I$5:$I$108,MATCH(D124,Fixture!$A$5:$A$108,0)),"-999"),J124=IFERROR(INDEX(Fixture!$J$5:$J$108,MATCH(D124,Fixture!$A$5:$A$108,0)),"-999")),IFERROR(INDEX(Fases!$C$5:$C$10,MATCH(IFERROR(INDEX(Fixture!$B$5:$B$108,MATCH(D124,Fixture!$A$5:$A$108,0)),0),Fases!$A$5:$A$10,0)),0),IF(OR(AND(I124&gt;J124,IFERROR(INDEX(Fixture!$I$5:$I$108,MATCH(D124,Fixture!$A$5:$A$108,0)),0)&gt;IFERROR(INDEX(Fixture!$J$5:$J$108,MATCH(D124,Fixture!$A$5:$A$108,0)),0)),AND(I124&lt;J124,IFERROR(INDEX(Fixture!$I$5:$I$108,MATCH(D124,Fixture!$A$5:$A$108,0)),0)&lt;IFERROR(INDEX(Fixture!$J$5:$J$108,MATCH(D124,Fixture!$A$5:$A$108,0)),0)),AND(I124=J124,IFERROR(INDEX(Fixture!$I$5:$I$108,MATCH(D124,Fixture!$A$5:$A$108,0)),0)=IFERROR(INDEX(Fixture!$J$5:$J$108,MATCH(D124,Fixture!$A$5:$A$108,0)),0))),IFERROR(INDEX(Fases!$D$5:$D$10,MATCH(IFERROR(INDEX(Fixture!$B$5:$B$108,MATCH(D124,Fixture!$A$5:$A$108,0)),0),Fases!$A$5:$A$10,0)),0),0))))</f>
        <v/>
      </c>
      <c r="M124" s="10" t="str">
        <f aca="false">IFERROR(INDEX(Fixture!$K$5:$K$108,MATCH(D124,Fixture!$A$5:$A$108,0)),"")</f>
        <v>PENDIENTE</v>
      </c>
    </row>
    <row r="125" customFormat="false" ht="15" hidden="false" customHeight="false" outlineLevel="0" collapsed="false">
      <c r="A125" s="11" t="n">
        <v>121</v>
      </c>
      <c r="B125" s="11" t="n">
        <v>2</v>
      </c>
      <c r="C125" s="12" t="str">
        <f aca="false">IFERROR(INDEX(Usuarios!$C$5:$C$200,MATCH(B125,Usuarios!$A$5:$A$200,0)),"")</f>
        <v>mari23</v>
      </c>
      <c r="D125" s="11" t="n">
        <v>18</v>
      </c>
      <c r="E125" s="12" t="str">
        <f aca="false">IFERROR(INDEX(Fases!$B$5:$B$10,MATCH(INDEX(Fixture!$B$5:$B$108,MATCH(D125,Fixture!$A$5:$A$108,0)),Fases!$A$5:$A$10,0)),"")</f>
        <v>Grupos</v>
      </c>
      <c r="F125" s="12" t="str">
        <f aca="false">IFERROR(INDEX(Fixture!$E$5:$E$108,MATCH(D125,Fixture!$A$5:$A$108,0)),"")</f>
        <v>Canadá</v>
      </c>
      <c r="G125" s="12" t="str">
        <f aca="false">IFERROR(INDEX(Fixture!$F$5:$F$108,MATCH(D125,Fixture!$A$5:$A$108,0)),"")</f>
        <v>Costa Rica</v>
      </c>
      <c r="H125" s="20" t="n">
        <f aca="false">IFERROR(INDEX(Fixture!$G$5:$G$108,MATCH(D125,Fixture!$A$5:$A$108,0)),"")</f>
        <v>46189.75</v>
      </c>
      <c r="I125" s="21"/>
      <c r="J125" s="21"/>
      <c r="K125" s="12" t="str">
        <f aca="false">IFERROR(INDEX(Fixture!$I$5:$I$108,MATCH(D125,Fixture!$A$5:$A$108,0))&amp;"-"&amp;INDEX(Fixture!$J$5:$J$108,MATCH(D125,Fixture!$A$5:$A$108,0)),"")</f>
        <v>-</v>
      </c>
      <c r="L125" s="11" t="str">
        <f aca="false">IF(M125&lt;&gt;"FINALIZADO","",IF(OR(ISBLANK(I125),ISBLANK(J125)),0,IF(AND(I125=IFERROR(INDEX(Fixture!$I$5:$I$108,MATCH(D125,Fixture!$A$5:$A$108,0)),"-999"),J125=IFERROR(INDEX(Fixture!$J$5:$J$108,MATCH(D125,Fixture!$A$5:$A$108,0)),"-999")),IFERROR(INDEX(Fases!$C$5:$C$10,MATCH(IFERROR(INDEX(Fixture!$B$5:$B$108,MATCH(D125,Fixture!$A$5:$A$108,0)),0),Fases!$A$5:$A$10,0)),0),IF(OR(AND(I125&gt;J125,IFERROR(INDEX(Fixture!$I$5:$I$108,MATCH(D125,Fixture!$A$5:$A$108,0)),0)&gt;IFERROR(INDEX(Fixture!$J$5:$J$108,MATCH(D125,Fixture!$A$5:$A$108,0)),0)),AND(I125&lt;J125,IFERROR(INDEX(Fixture!$I$5:$I$108,MATCH(D125,Fixture!$A$5:$A$108,0)),0)&lt;IFERROR(INDEX(Fixture!$J$5:$J$108,MATCH(D125,Fixture!$A$5:$A$108,0)),0)),AND(I125=J125,IFERROR(INDEX(Fixture!$I$5:$I$108,MATCH(D125,Fixture!$A$5:$A$108,0)),0)=IFERROR(INDEX(Fixture!$J$5:$J$108,MATCH(D125,Fixture!$A$5:$A$108,0)),0))),IFERROR(INDEX(Fases!$D$5:$D$10,MATCH(IFERROR(INDEX(Fixture!$B$5:$B$108,MATCH(D125,Fixture!$A$5:$A$108,0)),0),Fases!$A$5:$A$10,0)),0),0))))</f>
        <v/>
      </c>
      <c r="M125" s="12" t="str">
        <f aca="false">IFERROR(INDEX(Fixture!$K$5:$K$108,MATCH(D125,Fixture!$A$5:$A$108,0)),"")</f>
        <v>PENDIENTE</v>
      </c>
    </row>
    <row r="126" customFormat="false" ht="15" hidden="false" customHeight="false" outlineLevel="0" collapsed="false">
      <c r="A126" s="9" t="n">
        <v>122</v>
      </c>
      <c r="B126" s="9" t="n">
        <v>2</v>
      </c>
      <c r="C126" s="10" t="str">
        <f aca="false">IFERROR(INDEX(Usuarios!$C$5:$C$200,MATCH(B126,Usuarios!$A$5:$A$200,0)),"")</f>
        <v>mari23</v>
      </c>
      <c r="D126" s="9" t="n">
        <v>19</v>
      </c>
      <c r="E126" s="10" t="str">
        <f aca="false">IFERROR(INDEX(Fases!$B$5:$B$10,MATCH(INDEX(Fixture!$B$5:$B$108,MATCH(D126,Fixture!$A$5:$A$108,0)),Fases!$A$5:$A$10,0)),"")</f>
        <v>Grupos</v>
      </c>
      <c r="F126" s="10" t="str">
        <f aca="false">IFERROR(INDEX(Fixture!$E$5:$E$108,MATCH(D126,Fixture!$A$5:$A$108,0)),"")</f>
        <v>Panamá</v>
      </c>
      <c r="G126" s="10" t="str">
        <f aca="false">IFERROR(INDEX(Fixture!$F$5:$F$108,MATCH(D126,Fixture!$A$5:$A$108,0)),"")</f>
        <v>Honduras</v>
      </c>
      <c r="H126" s="22" t="n">
        <f aca="false">IFERROR(INDEX(Fixture!$G$5:$G$108,MATCH(D126,Fixture!$A$5:$A$108,0)),"")</f>
        <v>46190.625</v>
      </c>
      <c r="I126" s="23"/>
      <c r="J126" s="23"/>
      <c r="K126" s="10" t="str">
        <f aca="false">IFERROR(INDEX(Fixture!$I$5:$I$108,MATCH(D126,Fixture!$A$5:$A$108,0))&amp;"-"&amp;INDEX(Fixture!$J$5:$J$108,MATCH(D126,Fixture!$A$5:$A$108,0)),"")</f>
        <v>-</v>
      </c>
      <c r="L126" s="9" t="str">
        <f aca="false">IF(M126&lt;&gt;"FINALIZADO","",IF(OR(ISBLANK(I126),ISBLANK(J126)),0,IF(AND(I126=IFERROR(INDEX(Fixture!$I$5:$I$108,MATCH(D126,Fixture!$A$5:$A$108,0)),"-999"),J126=IFERROR(INDEX(Fixture!$J$5:$J$108,MATCH(D126,Fixture!$A$5:$A$108,0)),"-999")),IFERROR(INDEX(Fases!$C$5:$C$10,MATCH(IFERROR(INDEX(Fixture!$B$5:$B$108,MATCH(D126,Fixture!$A$5:$A$108,0)),0),Fases!$A$5:$A$10,0)),0),IF(OR(AND(I126&gt;J126,IFERROR(INDEX(Fixture!$I$5:$I$108,MATCH(D126,Fixture!$A$5:$A$108,0)),0)&gt;IFERROR(INDEX(Fixture!$J$5:$J$108,MATCH(D126,Fixture!$A$5:$A$108,0)),0)),AND(I126&lt;J126,IFERROR(INDEX(Fixture!$I$5:$I$108,MATCH(D126,Fixture!$A$5:$A$108,0)),0)&lt;IFERROR(INDEX(Fixture!$J$5:$J$108,MATCH(D126,Fixture!$A$5:$A$108,0)),0)),AND(I126=J126,IFERROR(INDEX(Fixture!$I$5:$I$108,MATCH(D126,Fixture!$A$5:$A$108,0)),0)=IFERROR(INDEX(Fixture!$J$5:$J$108,MATCH(D126,Fixture!$A$5:$A$108,0)),0))),IFERROR(INDEX(Fases!$D$5:$D$10,MATCH(IFERROR(INDEX(Fixture!$B$5:$B$108,MATCH(D126,Fixture!$A$5:$A$108,0)),0),Fases!$A$5:$A$10,0)),0),0))))</f>
        <v/>
      </c>
      <c r="M126" s="10" t="str">
        <f aca="false">IFERROR(INDEX(Fixture!$K$5:$K$108,MATCH(D126,Fixture!$A$5:$A$108,0)),"")</f>
        <v>PENDIENTE</v>
      </c>
    </row>
    <row r="127" customFormat="false" ht="15" hidden="false" customHeight="false" outlineLevel="0" collapsed="false">
      <c r="A127" s="11" t="n">
        <v>123</v>
      </c>
      <c r="B127" s="11" t="n">
        <v>2</v>
      </c>
      <c r="C127" s="12" t="str">
        <f aca="false">IFERROR(INDEX(Usuarios!$C$5:$C$200,MATCH(B127,Usuarios!$A$5:$A$200,0)),"")</f>
        <v>mari23</v>
      </c>
      <c r="D127" s="11" t="n">
        <v>20</v>
      </c>
      <c r="E127" s="12" t="str">
        <f aca="false">IFERROR(INDEX(Fases!$B$5:$B$10,MATCH(INDEX(Fixture!$B$5:$B$108,MATCH(D127,Fixture!$A$5:$A$108,0)),Fases!$A$5:$A$10,0)),"")</f>
        <v>Grupos</v>
      </c>
      <c r="F127" s="12" t="str">
        <f aca="false">IFERROR(INDEX(Fixture!$E$5:$E$108,MATCH(D127,Fixture!$A$5:$A$108,0)),"")</f>
        <v>Panamá</v>
      </c>
      <c r="G127" s="12" t="str">
        <f aca="false">IFERROR(INDEX(Fixture!$F$5:$F$108,MATCH(D127,Fixture!$A$5:$A$108,0)),"")</f>
        <v>Jamaica</v>
      </c>
      <c r="H127" s="20" t="n">
        <f aca="false">IFERROR(INDEX(Fixture!$G$5:$G$108,MATCH(D127,Fixture!$A$5:$A$108,0)),"")</f>
        <v>46190.75</v>
      </c>
      <c r="I127" s="21"/>
      <c r="J127" s="21"/>
      <c r="K127" s="12" t="str">
        <f aca="false">IFERROR(INDEX(Fixture!$I$5:$I$108,MATCH(D127,Fixture!$A$5:$A$108,0))&amp;"-"&amp;INDEX(Fixture!$J$5:$J$108,MATCH(D127,Fixture!$A$5:$A$108,0)),"")</f>
        <v>-</v>
      </c>
      <c r="L127" s="11" t="str">
        <f aca="false">IF(M127&lt;&gt;"FINALIZADO","",IF(OR(ISBLANK(I127),ISBLANK(J127)),0,IF(AND(I127=IFERROR(INDEX(Fixture!$I$5:$I$108,MATCH(D127,Fixture!$A$5:$A$108,0)),"-999"),J127=IFERROR(INDEX(Fixture!$J$5:$J$108,MATCH(D127,Fixture!$A$5:$A$108,0)),"-999")),IFERROR(INDEX(Fases!$C$5:$C$10,MATCH(IFERROR(INDEX(Fixture!$B$5:$B$108,MATCH(D127,Fixture!$A$5:$A$108,0)),0),Fases!$A$5:$A$10,0)),0),IF(OR(AND(I127&gt;J127,IFERROR(INDEX(Fixture!$I$5:$I$108,MATCH(D127,Fixture!$A$5:$A$108,0)),0)&gt;IFERROR(INDEX(Fixture!$J$5:$J$108,MATCH(D127,Fixture!$A$5:$A$108,0)),0)),AND(I127&lt;J127,IFERROR(INDEX(Fixture!$I$5:$I$108,MATCH(D127,Fixture!$A$5:$A$108,0)),0)&lt;IFERROR(INDEX(Fixture!$J$5:$J$108,MATCH(D127,Fixture!$A$5:$A$108,0)),0)),AND(I127=J127,IFERROR(INDEX(Fixture!$I$5:$I$108,MATCH(D127,Fixture!$A$5:$A$108,0)),0)=IFERROR(INDEX(Fixture!$J$5:$J$108,MATCH(D127,Fixture!$A$5:$A$108,0)),0))),IFERROR(INDEX(Fases!$D$5:$D$10,MATCH(IFERROR(INDEX(Fixture!$B$5:$B$108,MATCH(D127,Fixture!$A$5:$A$108,0)),0),Fases!$A$5:$A$10,0)),0),0))))</f>
        <v/>
      </c>
      <c r="M127" s="12" t="str">
        <f aca="false">IFERROR(INDEX(Fixture!$K$5:$K$108,MATCH(D127,Fixture!$A$5:$A$108,0)),"")</f>
        <v>PENDIENTE</v>
      </c>
    </row>
    <row r="128" customFormat="false" ht="15" hidden="false" customHeight="false" outlineLevel="0" collapsed="false">
      <c r="A128" s="9" t="n">
        <v>124</v>
      </c>
      <c r="B128" s="9" t="n">
        <v>2</v>
      </c>
      <c r="C128" s="10" t="str">
        <f aca="false">IFERROR(INDEX(Usuarios!$C$5:$C$200,MATCH(B128,Usuarios!$A$5:$A$200,0)),"")</f>
        <v>mari23</v>
      </c>
      <c r="D128" s="9" t="n">
        <v>21</v>
      </c>
      <c r="E128" s="10" t="str">
        <f aca="false">IFERROR(INDEX(Fases!$B$5:$B$10,MATCH(INDEX(Fixture!$B$5:$B$108,MATCH(D128,Fixture!$A$5:$A$108,0)),Fases!$A$5:$A$10,0)),"")</f>
        <v>Grupos</v>
      </c>
      <c r="F128" s="10" t="str">
        <f aca="false">IFERROR(INDEX(Fixture!$E$5:$E$108,MATCH(D128,Fixture!$A$5:$A$108,0)),"")</f>
        <v>Panamá</v>
      </c>
      <c r="G128" s="10" t="str">
        <f aca="false">IFERROR(INDEX(Fixture!$F$5:$F$108,MATCH(D128,Fixture!$A$5:$A$108,0)),"")</f>
        <v>Trinidad y Tobago</v>
      </c>
      <c r="H128" s="22" t="n">
        <f aca="false">IFERROR(INDEX(Fixture!$G$5:$G$108,MATCH(D128,Fixture!$A$5:$A$108,0)),"")</f>
        <v>46190.875</v>
      </c>
      <c r="I128" s="23"/>
      <c r="J128" s="23"/>
      <c r="K128" s="10" t="str">
        <f aca="false">IFERROR(INDEX(Fixture!$I$5:$I$108,MATCH(D128,Fixture!$A$5:$A$108,0))&amp;"-"&amp;INDEX(Fixture!$J$5:$J$108,MATCH(D128,Fixture!$A$5:$A$108,0)),"")</f>
        <v>-</v>
      </c>
      <c r="L128" s="9" t="str">
        <f aca="false">IF(M128&lt;&gt;"FINALIZADO","",IF(OR(ISBLANK(I128),ISBLANK(J128)),0,IF(AND(I128=IFERROR(INDEX(Fixture!$I$5:$I$108,MATCH(D128,Fixture!$A$5:$A$108,0)),"-999"),J128=IFERROR(INDEX(Fixture!$J$5:$J$108,MATCH(D128,Fixture!$A$5:$A$108,0)),"-999")),IFERROR(INDEX(Fases!$C$5:$C$10,MATCH(IFERROR(INDEX(Fixture!$B$5:$B$108,MATCH(D128,Fixture!$A$5:$A$108,0)),0),Fases!$A$5:$A$10,0)),0),IF(OR(AND(I128&gt;J128,IFERROR(INDEX(Fixture!$I$5:$I$108,MATCH(D128,Fixture!$A$5:$A$108,0)),0)&gt;IFERROR(INDEX(Fixture!$J$5:$J$108,MATCH(D128,Fixture!$A$5:$A$108,0)),0)),AND(I128&lt;J128,IFERROR(INDEX(Fixture!$I$5:$I$108,MATCH(D128,Fixture!$A$5:$A$108,0)),0)&lt;IFERROR(INDEX(Fixture!$J$5:$J$108,MATCH(D128,Fixture!$A$5:$A$108,0)),0)),AND(I128=J128,IFERROR(INDEX(Fixture!$I$5:$I$108,MATCH(D128,Fixture!$A$5:$A$108,0)),0)=IFERROR(INDEX(Fixture!$J$5:$J$108,MATCH(D128,Fixture!$A$5:$A$108,0)),0))),IFERROR(INDEX(Fases!$D$5:$D$10,MATCH(IFERROR(INDEX(Fixture!$B$5:$B$108,MATCH(D128,Fixture!$A$5:$A$108,0)),0),Fases!$A$5:$A$10,0)),0),0))))</f>
        <v/>
      </c>
      <c r="M128" s="10" t="str">
        <f aca="false">IFERROR(INDEX(Fixture!$K$5:$K$108,MATCH(D128,Fixture!$A$5:$A$108,0)),"")</f>
        <v>PENDIENTE</v>
      </c>
    </row>
    <row r="129" customFormat="false" ht="15" hidden="false" customHeight="false" outlineLevel="0" collapsed="false">
      <c r="A129" s="11" t="n">
        <v>125</v>
      </c>
      <c r="B129" s="11" t="n">
        <v>2</v>
      </c>
      <c r="C129" s="12" t="str">
        <f aca="false">IFERROR(INDEX(Usuarios!$C$5:$C$200,MATCH(B129,Usuarios!$A$5:$A$200,0)),"")</f>
        <v>mari23</v>
      </c>
      <c r="D129" s="11" t="n">
        <v>22</v>
      </c>
      <c r="E129" s="12" t="str">
        <f aca="false">IFERROR(INDEX(Fases!$B$5:$B$10,MATCH(INDEX(Fixture!$B$5:$B$108,MATCH(D129,Fixture!$A$5:$A$108,0)),Fases!$A$5:$A$10,0)),"")</f>
        <v>Grupos</v>
      </c>
      <c r="F129" s="12" t="str">
        <f aca="false">IFERROR(INDEX(Fixture!$E$5:$E$108,MATCH(D129,Fixture!$A$5:$A$108,0)),"")</f>
        <v>Honduras</v>
      </c>
      <c r="G129" s="12" t="str">
        <f aca="false">IFERROR(INDEX(Fixture!$F$5:$F$108,MATCH(D129,Fixture!$A$5:$A$108,0)),"")</f>
        <v>Jamaica</v>
      </c>
      <c r="H129" s="20" t="n">
        <f aca="false">IFERROR(INDEX(Fixture!$G$5:$G$108,MATCH(D129,Fixture!$A$5:$A$108,0)),"")</f>
        <v>46191</v>
      </c>
      <c r="I129" s="21"/>
      <c r="J129" s="21"/>
      <c r="K129" s="12" t="str">
        <f aca="false">IFERROR(INDEX(Fixture!$I$5:$I$108,MATCH(D129,Fixture!$A$5:$A$108,0))&amp;"-"&amp;INDEX(Fixture!$J$5:$J$108,MATCH(D129,Fixture!$A$5:$A$108,0)),"")</f>
        <v>-</v>
      </c>
      <c r="L129" s="11" t="str">
        <f aca="false">IF(M129&lt;&gt;"FINALIZADO","",IF(OR(ISBLANK(I129),ISBLANK(J129)),0,IF(AND(I129=IFERROR(INDEX(Fixture!$I$5:$I$108,MATCH(D129,Fixture!$A$5:$A$108,0)),"-999"),J129=IFERROR(INDEX(Fixture!$J$5:$J$108,MATCH(D129,Fixture!$A$5:$A$108,0)),"-999")),IFERROR(INDEX(Fases!$C$5:$C$10,MATCH(IFERROR(INDEX(Fixture!$B$5:$B$108,MATCH(D129,Fixture!$A$5:$A$108,0)),0),Fases!$A$5:$A$10,0)),0),IF(OR(AND(I129&gt;J129,IFERROR(INDEX(Fixture!$I$5:$I$108,MATCH(D129,Fixture!$A$5:$A$108,0)),0)&gt;IFERROR(INDEX(Fixture!$J$5:$J$108,MATCH(D129,Fixture!$A$5:$A$108,0)),0)),AND(I129&lt;J129,IFERROR(INDEX(Fixture!$I$5:$I$108,MATCH(D129,Fixture!$A$5:$A$108,0)),0)&lt;IFERROR(INDEX(Fixture!$J$5:$J$108,MATCH(D129,Fixture!$A$5:$A$108,0)),0)),AND(I129=J129,IFERROR(INDEX(Fixture!$I$5:$I$108,MATCH(D129,Fixture!$A$5:$A$108,0)),0)=IFERROR(INDEX(Fixture!$J$5:$J$108,MATCH(D129,Fixture!$A$5:$A$108,0)),0))),IFERROR(INDEX(Fases!$D$5:$D$10,MATCH(IFERROR(INDEX(Fixture!$B$5:$B$108,MATCH(D129,Fixture!$A$5:$A$108,0)),0),Fases!$A$5:$A$10,0)),0),0))))</f>
        <v/>
      </c>
      <c r="M129" s="12" t="str">
        <f aca="false">IFERROR(INDEX(Fixture!$K$5:$K$108,MATCH(D129,Fixture!$A$5:$A$108,0)),"")</f>
        <v>PENDIENTE</v>
      </c>
    </row>
    <row r="130" customFormat="false" ht="15" hidden="false" customHeight="false" outlineLevel="0" collapsed="false">
      <c r="A130" s="9" t="n">
        <v>126</v>
      </c>
      <c r="B130" s="9" t="n">
        <v>2</v>
      </c>
      <c r="C130" s="10" t="str">
        <f aca="false">IFERROR(INDEX(Usuarios!$C$5:$C$200,MATCH(B130,Usuarios!$A$5:$A$200,0)),"")</f>
        <v>mari23</v>
      </c>
      <c r="D130" s="9" t="n">
        <v>23</v>
      </c>
      <c r="E130" s="10" t="str">
        <f aca="false">IFERROR(INDEX(Fases!$B$5:$B$10,MATCH(INDEX(Fixture!$B$5:$B$108,MATCH(D130,Fixture!$A$5:$A$108,0)),Fases!$A$5:$A$10,0)),"")</f>
        <v>Grupos</v>
      </c>
      <c r="F130" s="10" t="str">
        <f aca="false">IFERROR(INDEX(Fixture!$E$5:$E$108,MATCH(D130,Fixture!$A$5:$A$108,0)),"")</f>
        <v>Honduras</v>
      </c>
      <c r="G130" s="10" t="str">
        <f aca="false">IFERROR(INDEX(Fixture!$F$5:$F$108,MATCH(D130,Fixture!$A$5:$A$108,0)),"")</f>
        <v>Trinidad y Tobago</v>
      </c>
      <c r="H130" s="22" t="n">
        <f aca="false">IFERROR(INDEX(Fixture!$G$5:$G$108,MATCH(D130,Fixture!$A$5:$A$108,0)),"")</f>
        <v>46191.625</v>
      </c>
      <c r="I130" s="23"/>
      <c r="J130" s="23"/>
      <c r="K130" s="10" t="str">
        <f aca="false">IFERROR(INDEX(Fixture!$I$5:$I$108,MATCH(D130,Fixture!$A$5:$A$108,0))&amp;"-"&amp;INDEX(Fixture!$J$5:$J$108,MATCH(D130,Fixture!$A$5:$A$108,0)),"")</f>
        <v>-</v>
      </c>
      <c r="L130" s="9" t="str">
        <f aca="false">IF(M130&lt;&gt;"FINALIZADO","",IF(OR(ISBLANK(I130),ISBLANK(J130)),0,IF(AND(I130=IFERROR(INDEX(Fixture!$I$5:$I$108,MATCH(D130,Fixture!$A$5:$A$108,0)),"-999"),J130=IFERROR(INDEX(Fixture!$J$5:$J$108,MATCH(D130,Fixture!$A$5:$A$108,0)),"-999")),IFERROR(INDEX(Fases!$C$5:$C$10,MATCH(IFERROR(INDEX(Fixture!$B$5:$B$108,MATCH(D130,Fixture!$A$5:$A$108,0)),0),Fases!$A$5:$A$10,0)),0),IF(OR(AND(I130&gt;J130,IFERROR(INDEX(Fixture!$I$5:$I$108,MATCH(D130,Fixture!$A$5:$A$108,0)),0)&gt;IFERROR(INDEX(Fixture!$J$5:$J$108,MATCH(D130,Fixture!$A$5:$A$108,0)),0)),AND(I130&lt;J130,IFERROR(INDEX(Fixture!$I$5:$I$108,MATCH(D130,Fixture!$A$5:$A$108,0)),0)&lt;IFERROR(INDEX(Fixture!$J$5:$J$108,MATCH(D130,Fixture!$A$5:$A$108,0)),0)),AND(I130=J130,IFERROR(INDEX(Fixture!$I$5:$I$108,MATCH(D130,Fixture!$A$5:$A$108,0)),0)=IFERROR(INDEX(Fixture!$J$5:$J$108,MATCH(D130,Fixture!$A$5:$A$108,0)),0))),IFERROR(INDEX(Fases!$D$5:$D$10,MATCH(IFERROR(INDEX(Fixture!$B$5:$B$108,MATCH(D130,Fixture!$A$5:$A$108,0)),0),Fases!$A$5:$A$10,0)),0),0))))</f>
        <v/>
      </c>
      <c r="M130" s="10" t="str">
        <f aca="false">IFERROR(INDEX(Fixture!$K$5:$K$108,MATCH(D130,Fixture!$A$5:$A$108,0)),"")</f>
        <v>PENDIENTE</v>
      </c>
    </row>
    <row r="131" customFormat="false" ht="15" hidden="false" customHeight="false" outlineLevel="0" collapsed="false">
      <c r="A131" s="11" t="n">
        <v>127</v>
      </c>
      <c r="B131" s="11" t="n">
        <v>2</v>
      </c>
      <c r="C131" s="12" t="str">
        <f aca="false">IFERROR(INDEX(Usuarios!$C$5:$C$200,MATCH(B131,Usuarios!$A$5:$A$200,0)),"")</f>
        <v>mari23</v>
      </c>
      <c r="D131" s="11" t="n">
        <v>24</v>
      </c>
      <c r="E131" s="12" t="str">
        <f aca="false">IFERROR(INDEX(Fases!$B$5:$B$10,MATCH(INDEX(Fixture!$B$5:$B$108,MATCH(D131,Fixture!$A$5:$A$108,0)),Fases!$A$5:$A$10,0)),"")</f>
        <v>Grupos</v>
      </c>
      <c r="F131" s="12" t="str">
        <f aca="false">IFERROR(INDEX(Fixture!$E$5:$E$108,MATCH(D131,Fixture!$A$5:$A$108,0)),"")</f>
        <v>Jamaica</v>
      </c>
      <c r="G131" s="12" t="str">
        <f aca="false">IFERROR(INDEX(Fixture!$F$5:$F$108,MATCH(D131,Fixture!$A$5:$A$108,0)),"")</f>
        <v>Trinidad y Tobago</v>
      </c>
      <c r="H131" s="20" t="n">
        <f aca="false">IFERROR(INDEX(Fixture!$G$5:$G$108,MATCH(D131,Fixture!$A$5:$A$108,0)),"")</f>
        <v>46191.75</v>
      </c>
      <c r="I131" s="21"/>
      <c r="J131" s="21"/>
      <c r="K131" s="12" t="str">
        <f aca="false">IFERROR(INDEX(Fixture!$I$5:$I$108,MATCH(D131,Fixture!$A$5:$A$108,0))&amp;"-"&amp;INDEX(Fixture!$J$5:$J$108,MATCH(D131,Fixture!$A$5:$A$108,0)),"")</f>
        <v>-</v>
      </c>
      <c r="L131" s="11" t="str">
        <f aca="false">IF(M131&lt;&gt;"FINALIZADO","",IF(OR(ISBLANK(I131),ISBLANK(J131)),0,IF(AND(I131=IFERROR(INDEX(Fixture!$I$5:$I$108,MATCH(D131,Fixture!$A$5:$A$108,0)),"-999"),J131=IFERROR(INDEX(Fixture!$J$5:$J$108,MATCH(D131,Fixture!$A$5:$A$108,0)),"-999")),IFERROR(INDEX(Fases!$C$5:$C$10,MATCH(IFERROR(INDEX(Fixture!$B$5:$B$108,MATCH(D131,Fixture!$A$5:$A$108,0)),0),Fases!$A$5:$A$10,0)),0),IF(OR(AND(I131&gt;J131,IFERROR(INDEX(Fixture!$I$5:$I$108,MATCH(D131,Fixture!$A$5:$A$108,0)),0)&gt;IFERROR(INDEX(Fixture!$J$5:$J$108,MATCH(D131,Fixture!$A$5:$A$108,0)),0)),AND(I131&lt;J131,IFERROR(INDEX(Fixture!$I$5:$I$108,MATCH(D131,Fixture!$A$5:$A$108,0)),0)&lt;IFERROR(INDEX(Fixture!$J$5:$J$108,MATCH(D131,Fixture!$A$5:$A$108,0)),0)),AND(I131=J131,IFERROR(INDEX(Fixture!$I$5:$I$108,MATCH(D131,Fixture!$A$5:$A$108,0)),0)=IFERROR(INDEX(Fixture!$J$5:$J$108,MATCH(D131,Fixture!$A$5:$A$108,0)),0))),IFERROR(INDEX(Fases!$D$5:$D$10,MATCH(IFERROR(INDEX(Fixture!$B$5:$B$108,MATCH(D131,Fixture!$A$5:$A$108,0)),0),Fases!$A$5:$A$10,0)),0),0))))</f>
        <v/>
      </c>
      <c r="M131" s="12" t="str">
        <f aca="false">IFERROR(INDEX(Fixture!$K$5:$K$108,MATCH(D131,Fixture!$A$5:$A$108,0)),"")</f>
        <v>PENDIENTE</v>
      </c>
    </row>
    <row r="132" customFormat="false" ht="15" hidden="false" customHeight="false" outlineLevel="0" collapsed="false">
      <c r="A132" s="9" t="n">
        <v>128</v>
      </c>
      <c r="B132" s="9" t="n">
        <v>2</v>
      </c>
      <c r="C132" s="10" t="str">
        <f aca="false">IFERROR(INDEX(Usuarios!$C$5:$C$200,MATCH(B132,Usuarios!$A$5:$A$200,0)),"")</f>
        <v>mari23</v>
      </c>
      <c r="D132" s="9" t="n">
        <v>25</v>
      </c>
      <c r="E132" s="10" t="str">
        <f aca="false">IFERROR(INDEX(Fases!$B$5:$B$10,MATCH(INDEX(Fixture!$B$5:$B$108,MATCH(D132,Fixture!$A$5:$A$108,0)),Fases!$A$5:$A$10,0)),"")</f>
        <v>Grupos</v>
      </c>
      <c r="F132" s="10" t="str">
        <f aca="false">IFERROR(INDEX(Fixture!$E$5:$E$108,MATCH(D132,Fixture!$A$5:$A$108,0)),"")</f>
        <v>España</v>
      </c>
      <c r="G132" s="10" t="str">
        <f aca="false">IFERROR(INDEX(Fixture!$F$5:$F$108,MATCH(D132,Fixture!$A$5:$A$108,0)),"")</f>
        <v>Francia</v>
      </c>
      <c r="H132" s="22" t="n">
        <f aca="false">IFERROR(INDEX(Fixture!$G$5:$G$108,MATCH(D132,Fixture!$A$5:$A$108,0)),"")</f>
        <v>46192.625</v>
      </c>
      <c r="I132" s="23"/>
      <c r="J132" s="23"/>
      <c r="K132" s="10" t="str">
        <f aca="false">IFERROR(INDEX(Fixture!$I$5:$I$108,MATCH(D132,Fixture!$A$5:$A$108,0))&amp;"-"&amp;INDEX(Fixture!$J$5:$J$108,MATCH(D132,Fixture!$A$5:$A$108,0)),"")</f>
        <v>-</v>
      </c>
      <c r="L132" s="9" t="str">
        <f aca="false">IF(M132&lt;&gt;"FINALIZADO","",IF(OR(ISBLANK(I132),ISBLANK(J132)),0,IF(AND(I132=IFERROR(INDEX(Fixture!$I$5:$I$108,MATCH(D132,Fixture!$A$5:$A$108,0)),"-999"),J132=IFERROR(INDEX(Fixture!$J$5:$J$108,MATCH(D132,Fixture!$A$5:$A$108,0)),"-999")),IFERROR(INDEX(Fases!$C$5:$C$10,MATCH(IFERROR(INDEX(Fixture!$B$5:$B$108,MATCH(D132,Fixture!$A$5:$A$108,0)),0),Fases!$A$5:$A$10,0)),0),IF(OR(AND(I132&gt;J132,IFERROR(INDEX(Fixture!$I$5:$I$108,MATCH(D132,Fixture!$A$5:$A$108,0)),0)&gt;IFERROR(INDEX(Fixture!$J$5:$J$108,MATCH(D132,Fixture!$A$5:$A$108,0)),0)),AND(I132&lt;J132,IFERROR(INDEX(Fixture!$I$5:$I$108,MATCH(D132,Fixture!$A$5:$A$108,0)),0)&lt;IFERROR(INDEX(Fixture!$J$5:$J$108,MATCH(D132,Fixture!$A$5:$A$108,0)),0)),AND(I132=J132,IFERROR(INDEX(Fixture!$I$5:$I$108,MATCH(D132,Fixture!$A$5:$A$108,0)),0)=IFERROR(INDEX(Fixture!$J$5:$J$108,MATCH(D132,Fixture!$A$5:$A$108,0)),0))),IFERROR(INDEX(Fases!$D$5:$D$10,MATCH(IFERROR(INDEX(Fixture!$B$5:$B$108,MATCH(D132,Fixture!$A$5:$A$108,0)),0),Fases!$A$5:$A$10,0)),0),0))))</f>
        <v/>
      </c>
      <c r="M132" s="10" t="str">
        <f aca="false">IFERROR(INDEX(Fixture!$K$5:$K$108,MATCH(D132,Fixture!$A$5:$A$108,0)),"")</f>
        <v>PENDIENTE</v>
      </c>
    </row>
    <row r="133" customFormat="false" ht="15" hidden="false" customHeight="false" outlineLevel="0" collapsed="false">
      <c r="A133" s="11" t="n">
        <v>129</v>
      </c>
      <c r="B133" s="11" t="n">
        <v>2</v>
      </c>
      <c r="C133" s="12" t="str">
        <f aca="false">IFERROR(INDEX(Usuarios!$C$5:$C$200,MATCH(B133,Usuarios!$A$5:$A$200,0)),"")</f>
        <v>mari23</v>
      </c>
      <c r="D133" s="11" t="n">
        <v>26</v>
      </c>
      <c r="E133" s="12" t="str">
        <f aca="false">IFERROR(INDEX(Fases!$B$5:$B$10,MATCH(INDEX(Fixture!$B$5:$B$108,MATCH(D133,Fixture!$A$5:$A$108,0)),Fases!$A$5:$A$10,0)),"")</f>
        <v>Grupos</v>
      </c>
      <c r="F133" s="12" t="str">
        <f aca="false">IFERROR(INDEX(Fixture!$E$5:$E$108,MATCH(D133,Fixture!$A$5:$A$108,0)),"")</f>
        <v>España</v>
      </c>
      <c r="G133" s="12" t="str">
        <f aca="false">IFERROR(INDEX(Fixture!$F$5:$F$108,MATCH(D133,Fixture!$A$5:$A$108,0)),"")</f>
        <v>Alemania</v>
      </c>
      <c r="H133" s="20" t="n">
        <f aca="false">IFERROR(INDEX(Fixture!$G$5:$G$108,MATCH(D133,Fixture!$A$5:$A$108,0)),"")</f>
        <v>46192.75</v>
      </c>
      <c r="I133" s="21"/>
      <c r="J133" s="21"/>
      <c r="K133" s="12" t="str">
        <f aca="false">IFERROR(INDEX(Fixture!$I$5:$I$108,MATCH(D133,Fixture!$A$5:$A$108,0))&amp;"-"&amp;INDEX(Fixture!$J$5:$J$108,MATCH(D133,Fixture!$A$5:$A$108,0)),"")</f>
        <v>-</v>
      </c>
      <c r="L133" s="11" t="str">
        <f aca="false">IF(M133&lt;&gt;"FINALIZADO","",IF(OR(ISBLANK(I133),ISBLANK(J133)),0,IF(AND(I133=IFERROR(INDEX(Fixture!$I$5:$I$108,MATCH(D133,Fixture!$A$5:$A$108,0)),"-999"),J133=IFERROR(INDEX(Fixture!$J$5:$J$108,MATCH(D133,Fixture!$A$5:$A$108,0)),"-999")),IFERROR(INDEX(Fases!$C$5:$C$10,MATCH(IFERROR(INDEX(Fixture!$B$5:$B$108,MATCH(D133,Fixture!$A$5:$A$108,0)),0),Fases!$A$5:$A$10,0)),0),IF(OR(AND(I133&gt;J133,IFERROR(INDEX(Fixture!$I$5:$I$108,MATCH(D133,Fixture!$A$5:$A$108,0)),0)&gt;IFERROR(INDEX(Fixture!$J$5:$J$108,MATCH(D133,Fixture!$A$5:$A$108,0)),0)),AND(I133&lt;J133,IFERROR(INDEX(Fixture!$I$5:$I$108,MATCH(D133,Fixture!$A$5:$A$108,0)),0)&lt;IFERROR(INDEX(Fixture!$J$5:$J$108,MATCH(D133,Fixture!$A$5:$A$108,0)),0)),AND(I133=J133,IFERROR(INDEX(Fixture!$I$5:$I$108,MATCH(D133,Fixture!$A$5:$A$108,0)),0)=IFERROR(INDEX(Fixture!$J$5:$J$108,MATCH(D133,Fixture!$A$5:$A$108,0)),0))),IFERROR(INDEX(Fases!$D$5:$D$10,MATCH(IFERROR(INDEX(Fixture!$B$5:$B$108,MATCH(D133,Fixture!$A$5:$A$108,0)),0),Fases!$A$5:$A$10,0)),0),0))))</f>
        <v/>
      </c>
      <c r="M133" s="12" t="str">
        <f aca="false">IFERROR(INDEX(Fixture!$K$5:$K$108,MATCH(D133,Fixture!$A$5:$A$108,0)),"")</f>
        <v>PENDIENTE</v>
      </c>
    </row>
    <row r="134" customFormat="false" ht="15" hidden="false" customHeight="false" outlineLevel="0" collapsed="false">
      <c r="A134" s="9" t="n">
        <v>130</v>
      </c>
      <c r="B134" s="9" t="n">
        <v>2</v>
      </c>
      <c r="C134" s="10" t="str">
        <f aca="false">IFERROR(INDEX(Usuarios!$C$5:$C$200,MATCH(B134,Usuarios!$A$5:$A$200,0)),"")</f>
        <v>mari23</v>
      </c>
      <c r="D134" s="9" t="n">
        <v>27</v>
      </c>
      <c r="E134" s="10" t="str">
        <f aca="false">IFERROR(INDEX(Fases!$B$5:$B$10,MATCH(INDEX(Fixture!$B$5:$B$108,MATCH(D134,Fixture!$A$5:$A$108,0)),Fases!$A$5:$A$10,0)),"")</f>
        <v>Grupos</v>
      </c>
      <c r="F134" s="10" t="str">
        <f aca="false">IFERROR(INDEX(Fixture!$E$5:$E$108,MATCH(D134,Fixture!$A$5:$A$108,0)),"")</f>
        <v>España</v>
      </c>
      <c r="G134" s="10" t="str">
        <f aca="false">IFERROR(INDEX(Fixture!$F$5:$F$108,MATCH(D134,Fixture!$A$5:$A$108,0)),"")</f>
        <v>Portugal</v>
      </c>
      <c r="H134" s="22" t="n">
        <f aca="false">IFERROR(INDEX(Fixture!$G$5:$G$108,MATCH(D134,Fixture!$A$5:$A$108,0)),"")</f>
        <v>46192.875</v>
      </c>
      <c r="I134" s="23"/>
      <c r="J134" s="23"/>
      <c r="K134" s="10" t="str">
        <f aca="false">IFERROR(INDEX(Fixture!$I$5:$I$108,MATCH(D134,Fixture!$A$5:$A$108,0))&amp;"-"&amp;INDEX(Fixture!$J$5:$J$108,MATCH(D134,Fixture!$A$5:$A$108,0)),"")</f>
        <v>-</v>
      </c>
      <c r="L134" s="9" t="str">
        <f aca="false">IF(M134&lt;&gt;"FINALIZADO","",IF(OR(ISBLANK(I134),ISBLANK(J134)),0,IF(AND(I134=IFERROR(INDEX(Fixture!$I$5:$I$108,MATCH(D134,Fixture!$A$5:$A$108,0)),"-999"),J134=IFERROR(INDEX(Fixture!$J$5:$J$108,MATCH(D134,Fixture!$A$5:$A$108,0)),"-999")),IFERROR(INDEX(Fases!$C$5:$C$10,MATCH(IFERROR(INDEX(Fixture!$B$5:$B$108,MATCH(D134,Fixture!$A$5:$A$108,0)),0),Fases!$A$5:$A$10,0)),0),IF(OR(AND(I134&gt;J134,IFERROR(INDEX(Fixture!$I$5:$I$108,MATCH(D134,Fixture!$A$5:$A$108,0)),0)&gt;IFERROR(INDEX(Fixture!$J$5:$J$108,MATCH(D134,Fixture!$A$5:$A$108,0)),0)),AND(I134&lt;J134,IFERROR(INDEX(Fixture!$I$5:$I$108,MATCH(D134,Fixture!$A$5:$A$108,0)),0)&lt;IFERROR(INDEX(Fixture!$J$5:$J$108,MATCH(D134,Fixture!$A$5:$A$108,0)),0)),AND(I134=J134,IFERROR(INDEX(Fixture!$I$5:$I$108,MATCH(D134,Fixture!$A$5:$A$108,0)),0)=IFERROR(INDEX(Fixture!$J$5:$J$108,MATCH(D134,Fixture!$A$5:$A$108,0)),0))),IFERROR(INDEX(Fases!$D$5:$D$10,MATCH(IFERROR(INDEX(Fixture!$B$5:$B$108,MATCH(D134,Fixture!$A$5:$A$108,0)),0),Fases!$A$5:$A$10,0)),0),0))))</f>
        <v/>
      </c>
      <c r="M134" s="10" t="str">
        <f aca="false">IFERROR(INDEX(Fixture!$K$5:$K$108,MATCH(D134,Fixture!$A$5:$A$108,0)),"")</f>
        <v>PENDIENTE</v>
      </c>
    </row>
    <row r="135" customFormat="false" ht="15" hidden="false" customHeight="false" outlineLevel="0" collapsed="false">
      <c r="A135" s="11" t="n">
        <v>131</v>
      </c>
      <c r="B135" s="11" t="n">
        <v>2</v>
      </c>
      <c r="C135" s="12" t="str">
        <f aca="false">IFERROR(INDEX(Usuarios!$C$5:$C$200,MATCH(B135,Usuarios!$A$5:$A$200,0)),"")</f>
        <v>mari23</v>
      </c>
      <c r="D135" s="11" t="n">
        <v>28</v>
      </c>
      <c r="E135" s="12" t="str">
        <f aca="false">IFERROR(INDEX(Fases!$B$5:$B$10,MATCH(INDEX(Fixture!$B$5:$B$108,MATCH(D135,Fixture!$A$5:$A$108,0)),Fases!$A$5:$A$10,0)),"")</f>
        <v>Grupos</v>
      </c>
      <c r="F135" s="12" t="str">
        <f aca="false">IFERROR(INDEX(Fixture!$E$5:$E$108,MATCH(D135,Fixture!$A$5:$A$108,0)),"")</f>
        <v>Francia</v>
      </c>
      <c r="G135" s="12" t="str">
        <f aca="false">IFERROR(INDEX(Fixture!$F$5:$F$108,MATCH(D135,Fixture!$A$5:$A$108,0)),"")</f>
        <v>Alemania</v>
      </c>
      <c r="H135" s="20" t="n">
        <f aca="false">IFERROR(INDEX(Fixture!$G$5:$G$108,MATCH(D135,Fixture!$A$5:$A$108,0)),"")</f>
        <v>46193</v>
      </c>
      <c r="I135" s="21"/>
      <c r="J135" s="21"/>
      <c r="K135" s="12" t="str">
        <f aca="false">IFERROR(INDEX(Fixture!$I$5:$I$108,MATCH(D135,Fixture!$A$5:$A$108,0))&amp;"-"&amp;INDEX(Fixture!$J$5:$J$108,MATCH(D135,Fixture!$A$5:$A$108,0)),"")</f>
        <v>-</v>
      </c>
      <c r="L135" s="11" t="str">
        <f aca="false">IF(M135&lt;&gt;"FINALIZADO","",IF(OR(ISBLANK(I135),ISBLANK(J135)),0,IF(AND(I135=IFERROR(INDEX(Fixture!$I$5:$I$108,MATCH(D135,Fixture!$A$5:$A$108,0)),"-999"),J135=IFERROR(INDEX(Fixture!$J$5:$J$108,MATCH(D135,Fixture!$A$5:$A$108,0)),"-999")),IFERROR(INDEX(Fases!$C$5:$C$10,MATCH(IFERROR(INDEX(Fixture!$B$5:$B$108,MATCH(D135,Fixture!$A$5:$A$108,0)),0),Fases!$A$5:$A$10,0)),0),IF(OR(AND(I135&gt;J135,IFERROR(INDEX(Fixture!$I$5:$I$108,MATCH(D135,Fixture!$A$5:$A$108,0)),0)&gt;IFERROR(INDEX(Fixture!$J$5:$J$108,MATCH(D135,Fixture!$A$5:$A$108,0)),0)),AND(I135&lt;J135,IFERROR(INDEX(Fixture!$I$5:$I$108,MATCH(D135,Fixture!$A$5:$A$108,0)),0)&lt;IFERROR(INDEX(Fixture!$J$5:$J$108,MATCH(D135,Fixture!$A$5:$A$108,0)),0)),AND(I135=J135,IFERROR(INDEX(Fixture!$I$5:$I$108,MATCH(D135,Fixture!$A$5:$A$108,0)),0)=IFERROR(INDEX(Fixture!$J$5:$J$108,MATCH(D135,Fixture!$A$5:$A$108,0)),0))),IFERROR(INDEX(Fases!$D$5:$D$10,MATCH(IFERROR(INDEX(Fixture!$B$5:$B$108,MATCH(D135,Fixture!$A$5:$A$108,0)),0),Fases!$A$5:$A$10,0)),0),0))))</f>
        <v/>
      </c>
      <c r="M135" s="12" t="str">
        <f aca="false">IFERROR(INDEX(Fixture!$K$5:$K$108,MATCH(D135,Fixture!$A$5:$A$108,0)),"")</f>
        <v>PENDIENTE</v>
      </c>
    </row>
    <row r="136" customFormat="false" ht="15" hidden="false" customHeight="false" outlineLevel="0" collapsed="false">
      <c r="A136" s="9" t="n">
        <v>132</v>
      </c>
      <c r="B136" s="9" t="n">
        <v>2</v>
      </c>
      <c r="C136" s="10" t="str">
        <f aca="false">IFERROR(INDEX(Usuarios!$C$5:$C$200,MATCH(B136,Usuarios!$A$5:$A$200,0)),"")</f>
        <v>mari23</v>
      </c>
      <c r="D136" s="9" t="n">
        <v>29</v>
      </c>
      <c r="E136" s="10" t="str">
        <f aca="false">IFERROR(INDEX(Fases!$B$5:$B$10,MATCH(INDEX(Fixture!$B$5:$B$108,MATCH(D136,Fixture!$A$5:$A$108,0)),Fases!$A$5:$A$10,0)),"")</f>
        <v>Grupos</v>
      </c>
      <c r="F136" s="10" t="str">
        <f aca="false">IFERROR(INDEX(Fixture!$E$5:$E$108,MATCH(D136,Fixture!$A$5:$A$108,0)),"")</f>
        <v>Francia</v>
      </c>
      <c r="G136" s="10" t="str">
        <f aca="false">IFERROR(INDEX(Fixture!$F$5:$F$108,MATCH(D136,Fixture!$A$5:$A$108,0)),"")</f>
        <v>Portugal</v>
      </c>
      <c r="H136" s="22" t="n">
        <f aca="false">IFERROR(INDEX(Fixture!$G$5:$G$108,MATCH(D136,Fixture!$A$5:$A$108,0)),"")</f>
        <v>46193.625</v>
      </c>
      <c r="I136" s="23"/>
      <c r="J136" s="23"/>
      <c r="K136" s="10" t="str">
        <f aca="false">IFERROR(INDEX(Fixture!$I$5:$I$108,MATCH(D136,Fixture!$A$5:$A$108,0))&amp;"-"&amp;INDEX(Fixture!$J$5:$J$108,MATCH(D136,Fixture!$A$5:$A$108,0)),"")</f>
        <v>-</v>
      </c>
      <c r="L136" s="9" t="str">
        <f aca="false">IF(M136&lt;&gt;"FINALIZADO","",IF(OR(ISBLANK(I136),ISBLANK(J136)),0,IF(AND(I136=IFERROR(INDEX(Fixture!$I$5:$I$108,MATCH(D136,Fixture!$A$5:$A$108,0)),"-999"),J136=IFERROR(INDEX(Fixture!$J$5:$J$108,MATCH(D136,Fixture!$A$5:$A$108,0)),"-999")),IFERROR(INDEX(Fases!$C$5:$C$10,MATCH(IFERROR(INDEX(Fixture!$B$5:$B$108,MATCH(D136,Fixture!$A$5:$A$108,0)),0),Fases!$A$5:$A$10,0)),0),IF(OR(AND(I136&gt;J136,IFERROR(INDEX(Fixture!$I$5:$I$108,MATCH(D136,Fixture!$A$5:$A$108,0)),0)&gt;IFERROR(INDEX(Fixture!$J$5:$J$108,MATCH(D136,Fixture!$A$5:$A$108,0)),0)),AND(I136&lt;J136,IFERROR(INDEX(Fixture!$I$5:$I$108,MATCH(D136,Fixture!$A$5:$A$108,0)),0)&lt;IFERROR(INDEX(Fixture!$J$5:$J$108,MATCH(D136,Fixture!$A$5:$A$108,0)),0)),AND(I136=J136,IFERROR(INDEX(Fixture!$I$5:$I$108,MATCH(D136,Fixture!$A$5:$A$108,0)),0)=IFERROR(INDEX(Fixture!$J$5:$J$108,MATCH(D136,Fixture!$A$5:$A$108,0)),0))),IFERROR(INDEX(Fases!$D$5:$D$10,MATCH(IFERROR(INDEX(Fixture!$B$5:$B$108,MATCH(D136,Fixture!$A$5:$A$108,0)),0),Fases!$A$5:$A$10,0)),0),0))))</f>
        <v/>
      </c>
      <c r="M136" s="10" t="str">
        <f aca="false">IFERROR(INDEX(Fixture!$K$5:$K$108,MATCH(D136,Fixture!$A$5:$A$108,0)),"")</f>
        <v>PENDIENTE</v>
      </c>
    </row>
    <row r="137" customFormat="false" ht="15" hidden="false" customHeight="false" outlineLevel="0" collapsed="false">
      <c r="A137" s="11" t="n">
        <v>133</v>
      </c>
      <c r="B137" s="11" t="n">
        <v>2</v>
      </c>
      <c r="C137" s="12" t="str">
        <f aca="false">IFERROR(INDEX(Usuarios!$C$5:$C$200,MATCH(B137,Usuarios!$A$5:$A$200,0)),"")</f>
        <v>mari23</v>
      </c>
      <c r="D137" s="11" t="n">
        <v>30</v>
      </c>
      <c r="E137" s="12" t="str">
        <f aca="false">IFERROR(INDEX(Fases!$B$5:$B$10,MATCH(INDEX(Fixture!$B$5:$B$108,MATCH(D137,Fixture!$A$5:$A$108,0)),Fases!$A$5:$A$10,0)),"")</f>
        <v>Grupos</v>
      </c>
      <c r="F137" s="12" t="str">
        <f aca="false">IFERROR(INDEX(Fixture!$E$5:$E$108,MATCH(D137,Fixture!$A$5:$A$108,0)),"")</f>
        <v>Alemania</v>
      </c>
      <c r="G137" s="12" t="str">
        <f aca="false">IFERROR(INDEX(Fixture!$F$5:$F$108,MATCH(D137,Fixture!$A$5:$A$108,0)),"")</f>
        <v>Portugal</v>
      </c>
      <c r="H137" s="20" t="n">
        <f aca="false">IFERROR(INDEX(Fixture!$G$5:$G$108,MATCH(D137,Fixture!$A$5:$A$108,0)),"")</f>
        <v>46193.75</v>
      </c>
      <c r="I137" s="21"/>
      <c r="J137" s="21"/>
      <c r="K137" s="12" t="str">
        <f aca="false">IFERROR(INDEX(Fixture!$I$5:$I$108,MATCH(D137,Fixture!$A$5:$A$108,0))&amp;"-"&amp;INDEX(Fixture!$J$5:$J$108,MATCH(D137,Fixture!$A$5:$A$108,0)),"")</f>
        <v>-</v>
      </c>
      <c r="L137" s="11" t="str">
        <f aca="false">IF(M137&lt;&gt;"FINALIZADO","",IF(OR(ISBLANK(I137),ISBLANK(J137)),0,IF(AND(I137=IFERROR(INDEX(Fixture!$I$5:$I$108,MATCH(D137,Fixture!$A$5:$A$108,0)),"-999"),J137=IFERROR(INDEX(Fixture!$J$5:$J$108,MATCH(D137,Fixture!$A$5:$A$108,0)),"-999")),IFERROR(INDEX(Fases!$C$5:$C$10,MATCH(IFERROR(INDEX(Fixture!$B$5:$B$108,MATCH(D137,Fixture!$A$5:$A$108,0)),0),Fases!$A$5:$A$10,0)),0),IF(OR(AND(I137&gt;J137,IFERROR(INDEX(Fixture!$I$5:$I$108,MATCH(D137,Fixture!$A$5:$A$108,0)),0)&gt;IFERROR(INDEX(Fixture!$J$5:$J$108,MATCH(D137,Fixture!$A$5:$A$108,0)),0)),AND(I137&lt;J137,IFERROR(INDEX(Fixture!$I$5:$I$108,MATCH(D137,Fixture!$A$5:$A$108,0)),0)&lt;IFERROR(INDEX(Fixture!$J$5:$J$108,MATCH(D137,Fixture!$A$5:$A$108,0)),0)),AND(I137=J137,IFERROR(INDEX(Fixture!$I$5:$I$108,MATCH(D137,Fixture!$A$5:$A$108,0)),0)=IFERROR(INDEX(Fixture!$J$5:$J$108,MATCH(D137,Fixture!$A$5:$A$108,0)),0))),IFERROR(INDEX(Fases!$D$5:$D$10,MATCH(IFERROR(INDEX(Fixture!$B$5:$B$108,MATCH(D137,Fixture!$A$5:$A$108,0)),0),Fases!$A$5:$A$10,0)),0),0))))</f>
        <v/>
      </c>
      <c r="M137" s="12" t="str">
        <f aca="false">IFERROR(INDEX(Fixture!$K$5:$K$108,MATCH(D137,Fixture!$A$5:$A$108,0)),"")</f>
        <v>PENDIENTE</v>
      </c>
    </row>
    <row r="138" customFormat="false" ht="15" hidden="false" customHeight="false" outlineLevel="0" collapsed="false">
      <c r="A138" s="9" t="n">
        <v>134</v>
      </c>
      <c r="B138" s="9" t="n">
        <v>2</v>
      </c>
      <c r="C138" s="10" t="str">
        <f aca="false">IFERROR(INDEX(Usuarios!$C$5:$C$200,MATCH(B138,Usuarios!$A$5:$A$200,0)),"")</f>
        <v>mari23</v>
      </c>
      <c r="D138" s="9" t="n">
        <v>31</v>
      </c>
      <c r="E138" s="10" t="str">
        <f aca="false">IFERROR(INDEX(Fases!$B$5:$B$10,MATCH(INDEX(Fixture!$B$5:$B$108,MATCH(D138,Fixture!$A$5:$A$108,0)),Fases!$A$5:$A$10,0)),"")</f>
        <v>Grupos</v>
      </c>
      <c r="F138" s="10" t="str">
        <f aca="false">IFERROR(INDEX(Fixture!$E$5:$E$108,MATCH(D138,Fixture!$A$5:$A$108,0)),"")</f>
        <v>Inglaterra</v>
      </c>
      <c r="G138" s="10" t="str">
        <f aca="false">IFERROR(INDEX(Fixture!$F$5:$F$108,MATCH(D138,Fixture!$A$5:$A$108,0)),"")</f>
        <v>Italia</v>
      </c>
      <c r="H138" s="22" t="n">
        <f aca="false">IFERROR(INDEX(Fixture!$G$5:$G$108,MATCH(D138,Fixture!$A$5:$A$108,0)),"")</f>
        <v>46194.625</v>
      </c>
      <c r="I138" s="23"/>
      <c r="J138" s="23"/>
      <c r="K138" s="10" t="str">
        <f aca="false">IFERROR(INDEX(Fixture!$I$5:$I$108,MATCH(D138,Fixture!$A$5:$A$108,0))&amp;"-"&amp;INDEX(Fixture!$J$5:$J$108,MATCH(D138,Fixture!$A$5:$A$108,0)),"")</f>
        <v>-</v>
      </c>
      <c r="L138" s="9" t="str">
        <f aca="false">IF(M138&lt;&gt;"FINALIZADO","",IF(OR(ISBLANK(I138),ISBLANK(J138)),0,IF(AND(I138=IFERROR(INDEX(Fixture!$I$5:$I$108,MATCH(D138,Fixture!$A$5:$A$108,0)),"-999"),J138=IFERROR(INDEX(Fixture!$J$5:$J$108,MATCH(D138,Fixture!$A$5:$A$108,0)),"-999")),IFERROR(INDEX(Fases!$C$5:$C$10,MATCH(IFERROR(INDEX(Fixture!$B$5:$B$108,MATCH(D138,Fixture!$A$5:$A$108,0)),0),Fases!$A$5:$A$10,0)),0),IF(OR(AND(I138&gt;J138,IFERROR(INDEX(Fixture!$I$5:$I$108,MATCH(D138,Fixture!$A$5:$A$108,0)),0)&gt;IFERROR(INDEX(Fixture!$J$5:$J$108,MATCH(D138,Fixture!$A$5:$A$108,0)),0)),AND(I138&lt;J138,IFERROR(INDEX(Fixture!$I$5:$I$108,MATCH(D138,Fixture!$A$5:$A$108,0)),0)&lt;IFERROR(INDEX(Fixture!$J$5:$J$108,MATCH(D138,Fixture!$A$5:$A$108,0)),0)),AND(I138=J138,IFERROR(INDEX(Fixture!$I$5:$I$108,MATCH(D138,Fixture!$A$5:$A$108,0)),0)=IFERROR(INDEX(Fixture!$J$5:$J$108,MATCH(D138,Fixture!$A$5:$A$108,0)),0))),IFERROR(INDEX(Fases!$D$5:$D$10,MATCH(IFERROR(INDEX(Fixture!$B$5:$B$108,MATCH(D138,Fixture!$A$5:$A$108,0)),0),Fases!$A$5:$A$10,0)),0),0))))</f>
        <v/>
      </c>
      <c r="M138" s="10" t="str">
        <f aca="false">IFERROR(INDEX(Fixture!$K$5:$K$108,MATCH(D138,Fixture!$A$5:$A$108,0)),"")</f>
        <v>PENDIENTE</v>
      </c>
    </row>
    <row r="139" customFormat="false" ht="15" hidden="false" customHeight="false" outlineLevel="0" collapsed="false">
      <c r="A139" s="11" t="n">
        <v>135</v>
      </c>
      <c r="B139" s="11" t="n">
        <v>2</v>
      </c>
      <c r="C139" s="12" t="str">
        <f aca="false">IFERROR(INDEX(Usuarios!$C$5:$C$200,MATCH(B139,Usuarios!$A$5:$A$200,0)),"")</f>
        <v>mari23</v>
      </c>
      <c r="D139" s="11" t="n">
        <v>32</v>
      </c>
      <c r="E139" s="12" t="str">
        <f aca="false">IFERROR(INDEX(Fases!$B$5:$B$10,MATCH(INDEX(Fixture!$B$5:$B$108,MATCH(D139,Fixture!$A$5:$A$108,0)),Fases!$A$5:$A$10,0)),"")</f>
        <v>Grupos</v>
      </c>
      <c r="F139" s="12" t="str">
        <f aca="false">IFERROR(INDEX(Fixture!$E$5:$E$108,MATCH(D139,Fixture!$A$5:$A$108,0)),"")</f>
        <v>Inglaterra</v>
      </c>
      <c r="G139" s="12" t="str">
        <f aca="false">IFERROR(INDEX(Fixture!$F$5:$F$108,MATCH(D139,Fixture!$A$5:$A$108,0)),"")</f>
        <v>Países Bajos</v>
      </c>
      <c r="H139" s="20" t="n">
        <f aca="false">IFERROR(INDEX(Fixture!$G$5:$G$108,MATCH(D139,Fixture!$A$5:$A$108,0)),"")</f>
        <v>46194.75</v>
      </c>
      <c r="I139" s="21"/>
      <c r="J139" s="21"/>
      <c r="K139" s="12" t="str">
        <f aca="false">IFERROR(INDEX(Fixture!$I$5:$I$108,MATCH(D139,Fixture!$A$5:$A$108,0))&amp;"-"&amp;INDEX(Fixture!$J$5:$J$108,MATCH(D139,Fixture!$A$5:$A$108,0)),"")</f>
        <v>-</v>
      </c>
      <c r="L139" s="11" t="str">
        <f aca="false">IF(M139&lt;&gt;"FINALIZADO","",IF(OR(ISBLANK(I139),ISBLANK(J139)),0,IF(AND(I139=IFERROR(INDEX(Fixture!$I$5:$I$108,MATCH(D139,Fixture!$A$5:$A$108,0)),"-999"),J139=IFERROR(INDEX(Fixture!$J$5:$J$108,MATCH(D139,Fixture!$A$5:$A$108,0)),"-999")),IFERROR(INDEX(Fases!$C$5:$C$10,MATCH(IFERROR(INDEX(Fixture!$B$5:$B$108,MATCH(D139,Fixture!$A$5:$A$108,0)),0),Fases!$A$5:$A$10,0)),0),IF(OR(AND(I139&gt;J139,IFERROR(INDEX(Fixture!$I$5:$I$108,MATCH(D139,Fixture!$A$5:$A$108,0)),0)&gt;IFERROR(INDEX(Fixture!$J$5:$J$108,MATCH(D139,Fixture!$A$5:$A$108,0)),0)),AND(I139&lt;J139,IFERROR(INDEX(Fixture!$I$5:$I$108,MATCH(D139,Fixture!$A$5:$A$108,0)),0)&lt;IFERROR(INDEX(Fixture!$J$5:$J$108,MATCH(D139,Fixture!$A$5:$A$108,0)),0)),AND(I139=J139,IFERROR(INDEX(Fixture!$I$5:$I$108,MATCH(D139,Fixture!$A$5:$A$108,0)),0)=IFERROR(INDEX(Fixture!$J$5:$J$108,MATCH(D139,Fixture!$A$5:$A$108,0)),0))),IFERROR(INDEX(Fases!$D$5:$D$10,MATCH(IFERROR(INDEX(Fixture!$B$5:$B$108,MATCH(D139,Fixture!$A$5:$A$108,0)),0),Fases!$A$5:$A$10,0)),0),0))))</f>
        <v/>
      </c>
      <c r="M139" s="12" t="str">
        <f aca="false">IFERROR(INDEX(Fixture!$K$5:$K$108,MATCH(D139,Fixture!$A$5:$A$108,0)),"")</f>
        <v>PENDIENTE</v>
      </c>
    </row>
    <row r="140" customFormat="false" ht="15" hidden="false" customHeight="false" outlineLevel="0" collapsed="false">
      <c r="A140" s="9" t="n">
        <v>136</v>
      </c>
      <c r="B140" s="9" t="n">
        <v>2</v>
      </c>
      <c r="C140" s="10" t="str">
        <f aca="false">IFERROR(INDEX(Usuarios!$C$5:$C$200,MATCH(B140,Usuarios!$A$5:$A$200,0)),"")</f>
        <v>mari23</v>
      </c>
      <c r="D140" s="9" t="n">
        <v>33</v>
      </c>
      <c r="E140" s="10" t="str">
        <f aca="false">IFERROR(INDEX(Fases!$B$5:$B$10,MATCH(INDEX(Fixture!$B$5:$B$108,MATCH(D140,Fixture!$A$5:$A$108,0)),Fases!$A$5:$A$10,0)),"")</f>
        <v>Grupos</v>
      </c>
      <c r="F140" s="10" t="str">
        <f aca="false">IFERROR(INDEX(Fixture!$E$5:$E$108,MATCH(D140,Fixture!$A$5:$A$108,0)),"")</f>
        <v>Inglaterra</v>
      </c>
      <c r="G140" s="10" t="str">
        <f aca="false">IFERROR(INDEX(Fixture!$F$5:$F$108,MATCH(D140,Fixture!$A$5:$A$108,0)),"")</f>
        <v>Bélgica</v>
      </c>
      <c r="H140" s="22" t="n">
        <f aca="false">IFERROR(INDEX(Fixture!$G$5:$G$108,MATCH(D140,Fixture!$A$5:$A$108,0)),"")</f>
        <v>46194.875</v>
      </c>
      <c r="I140" s="23"/>
      <c r="J140" s="23"/>
      <c r="K140" s="10" t="str">
        <f aca="false">IFERROR(INDEX(Fixture!$I$5:$I$108,MATCH(D140,Fixture!$A$5:$A$108,0))&amp;"-"&amp;INDEX(Fixture!$J$5:$J$108,MATCH(D140,Fixture!$A$5:$A$108,0)),"")</f>
        <v>-</v>
      </c>
      <c r="L140" s="9" t="str">
        <f aca="false">IF(M140&lt;&gt;"FINALIZADO","",IF(OR(ISBLANK(I140),ISBLANK(J140)),0,IF(AND(I140=IFERROR(INDEX(Fixture!$I$5:$I$108,MATCH(D140,Fixture!$A$5:$A$108,0)),"-999"),J140=IFERROR(INDEX(Fixture!$J$5:$J$108,MATCH(D140,Fixture!$A$5:$A$108,0)),"-999")),IFERROR(INDEX(Fases!$C$5:$C$10,MATCH(IFERROR(INDEX(Fixture!$B$5:$B$108,MATCH(D140,Fixture!$A$5:$A$108,0)),0),Fases!$A$5:$A$10,0)),0),IF(OR(AND(I140&gt;J140,IFERROR(INDEX(Fixture!$I$5:$I$108,MATCH(D140,Fixture!$A$5:$A$108,0)),0)&gt;IFERROR(INDEX(Fixture!$J$5:$J$108,MATCH(D140,Fixture!$A$5:$A$108,0)),0)),AND(I140&lt;J140,IFERROR(INDEX(Fixture!$I$5:$I$108,MATCH(D140,Fixture!$A$5:$A$108,0)),0)&lt;IFERROR(INDEX(Fixture!$J$5:$J$108,MATCH(D140,Fixture!$A$5:$A$108,0)),0)),AND(I140=J140,IFERROR(INDEX(Fixture!$I$5:$I$108,MATCH(D140,Fixture!$A$5:$A$108,0)),0)=IFERROR(INDEX(Fixture!$J$5:$J$108,MATCH(D140,Fixture!$A$5:$A$108,0)),0))),IFERROR(INDEX(Fases!$D$5:$D$10,MATCH(IFERROR(INDEX(Fixture!$B$5:$B$108,MATCH(D140,Fixture!$A$5:$A$108,0)),0),Fases!$A$5:$A$10,0)),0),0))))</f>
        <v/>
      </c>
      <c r="M140" s="10" t="str">
        <f aca="false">IFERROR(INDEX(Fixture!$K$5:$K$108,MATCH(D140,Fixture!$A$5:$A$108,0)),"")</f>
        <v>PENDIENTE</v>
      </c>
    </row>
    <row r="141" customFormat="false" ht="15" hidden="false" customHeight="false" outlineLevel="0" collapsed="false">
      <c r="A141" s="11" t="n">
        <v>137</v>
      </c>
      <c r="B141" s="11" t="n">
        <v>2</v>
      </c>
      <c r="C141" s="12" t="str">
        <f aca="false">IFERROR(INDEX(Usuarios!$C$5:$C$200,MATCH(B141,Usuarios!$A$5:$A$200,0)),"")</f>
        <v>mari23</v>
      </c>
      <c r="D141" s="11" t="n">
        <v>34</v>
      </c>
      <c r="E141" s="12" t="str">
        <f aca="false">IFERROR(INDEX(Fases!$B$5:$B$10,MATCH(INDEX(Fixture!$B$5:$B$108,MATCH(D141,Fixture!$A$5:$A$108,0)),Fases!$A$5:$A$10,0)),"")</f>
        <v>Grupos</v>
      </c>
      <c r="F141" s="12" t="str">
        <f aca="false">IFERROR(INDEX(Fixture!$E$5:$E$108,MATCH(D141,Fixture!$A$5:$A$108,0)),"")</f>
        <v>Italia</v>
      </c>
      <c r="G141" s="12" t="str">
        <f aca="false">IFERROR(INDEX(Fixture!$F$5:$F$108,MATCH(D141,Fixture!$A$5:$A$108,0)),"")</f>
        <v>Países Bajos</v>
      </c>
      <c r="H141" s="20" t="n">
        <f aca="false">IFERROR(INDEX(Fixture!$G$5:$G$108,MATCH(D141,Fixture!$A$5:$A$108,0)),"")</f>
        <v>46195</v>
      </c>
      <c r="I141" s="21"/>
      <c r="J141" s="21"/>
      <c r="K141" s="12" t="str">
        <f aca="false">IFERROR(INDEX(Fixture!$I$5:$I$108,MATCH(D141,Fixture!$A$5:$A$108,0))&amp;"-"&amp;INDEX(Fixture!$J$5:$J$108,MATCH(D141,Fixture!$A$5:$A$108,0)),"")</f>
        <v>-</v>
      </c>
      <c r="L141" s="11" t="str">
        <f aca="false">IF(M141&lt;&gt;"FINALIZADO","",IF(OR(ISBLANK(I141),ISBLANK(J141)),0,IF(AND(I141=IFERROR(INDEX(Fixture!$I$5:$I$108,MATCH(D141,Fixture!$A$5:$A$108,0)),"-999"),J141=IFERROR(INDEX(Fixture!$J$5:$J$108,MATCH(D141,Fixture!$A$5:$A$108,0)),"-999")),IFERROR(INDEX(Fases!$C$5:$C$10,MATCH(IFERROR(INDEX(Fixture!$B$5:$B$108,MATCH(D141,Fixture!$A$5:$A$108,0)),0),Fases!$A$5:$A$10,0)),0),IF(OR(AND(I141&gt;J141,IFERROR(INDEX(Fixture!$I$5:$I$108,MATCH(D141,Fixture!$A$5:$A$108,0)),0)&gt;IFERROR(INDEX(Fixture!$J$5:$J$108,MATCH(D141,Fixture!$A$5:$A$108,0)),0)),AND(I141&lt;J141,IFERROR(INDEX(Fixture!$I$5:$I$108,MATCH(D141,Fixture!$A$5:$A$108,0)),0)&lt;IFERROR(INDEX(Fixture!$J$5:$J$108,MATCH(D141,Fixture!$A$5:$A$108,0)),0)),AND(I141=J141,IFERROR(INDEX(Fixture!$I$5:$I$108,MATCH(D141,Fixture!$A$5:$A$108,0)),0)=IFERROR(INDEX(Fixture!$J$5:$J$108,MATCH(D141,Fixture!$A$5:$A$108,0)),0))),IFERROR(INDEX(Fases!$D$5:$D$10,MATCH(IFERROR(INDEX(Fixture!$B$5:$B$108,MATCH(D141,Fixture!$A$5:$A$108,0)),0),Fases!$A$5:$A$10,0)),0),0))))</f>
        <v/>
      </c>
      <c r="M141" s="12" t="str">
        <f aca="false">IFERROR(INDEX(Fixture!$K$5:$K$108,MATCH(D141,Fixture!$A$5:$A$108,0)),"")</f>
        <v>PENDIENTE</v>
      </c>
    </row>
    <row r="142" customFormat="false" ht="15" hidden="false" customHeight="false" outlineLevel="0" collapsed="false">
      <c r="A142" s="9" t="n">
        <v>138</v>
      </c>
      <c r="B142" s="9" t="n">
        <v>2</v>
      </c>
      <c r="C142" s="10" t="str">
        <f aca="false">IFERROR(INDEX(Usuarios!$C$5:$C$200,MATCH(B142,Usuarios!$A$5:$A$200,0)),"")</f>
        <v>mari23</v>
      </c>
      <c r="D142" s="9" t="n">
        <v>35</v>
      </c>
      <c r="E142" s="10" t="str">
        <f aca="false">IFERROR(INDEX(Fases!$B$5:$B$10,MATCH(INDEX(Fixture!$B$5:$B$108,MATCH(D142,Fixture!$A$5:$A$108,0)),Fases!$A$5:$A$10,0)),"")</f>
        <v>Grupos</v>
      </c>
      <c r="F142" s="10" t="str">
        <f aca="false">IFERROR(INDEX(Fixture!$E$5:$E$108,MATCH(D142,Fixture!$A$5:$A$108,0)),"")</f>
        <v>Italia</v>
      </c>
      <c r="G142" s="10" t="str">
        <f aca="false">IFERROR(INDEX(Fixture!$F$5:$F$108,MATCH(D142,Fixture!$A$5:$A$108,0)),"")</f>
        <v>Bélgica</v>
      </c>
      <c r="H142" s="22" t="n">
        <f aca="false">IFERROR(INDEX(Fixture!$G$5:$G$108,MATCH(D142,Fixture!$A$5:$A$108,0)),"")</f>
        <v>46195.625</v>
      </c>
      <c r="I142" s="23"/>
      <c r="J142" s="23"/>
      <c r="K142" s="10" t="str">
        <f aca="false">IFERROR(INDEX(Fixture!$I$5:$I$108,MATCH(D142,Fixture!$A$5:$A$108,0))&amp;"-"&amp;INDEX(Fixture!$J$5:$J$108,MATCH(D142,Fixture!$A$5:$A$108,0)),"")</f>
        <v>-</v>
      </c>
      <c r="L142" s="9" t="str">
        <f aca="false">IF(M142&lt;&gt;"FINALIZADO","",IF(OR(ISBLANK(I142),ISBLANK(J142)),0,IF(AND(I142=IFERROR(INDEX(Fixture!$I$5:$I$108,MATCH(D142,Fixture!$A$5:$A$108,0)),"-999"),J142=IFERROR(INDEX(Fixture!$J$5:$J$108,MATCH(D142,Fixture!$A$5:$A$108,0)),"-999")),IFERROR(INDEX(Fases!$C$5:$C$10,MATCH(IFERROR(INDEX(Fixture!$B$5:$B$108,MATCH(D142,Fixture!$A$5:$A$108,0)),0),Fases!$A$5:$A$10,0)),0),IF(OR(AND(I142&gt;J142,IFERROR(INDEX(Fixture!$I$5:$I$108,MATCH(D142,Fixture!$A$5:$A$108,0)),0)&gt;IFERROR(INDEX(Fixture!$J$5:$J$108,MATCH(D142,Fixture!$A$5:$A$108,0)),0)),AND(I142&lt;J142,IFERROR(INDEX(Fixture!$I$5:$I$108,MATCH(D142,Fixture!$A$5:$A$108,0)),0)&lt;IFERROR(INDEX(Fixture!$J$5:$J$108,MATCH(D142,Fixture!$A$5:$A$108,0)),0)),AND(I142=J142,IFERROR(INDEX(Fixture!$I$5:$I$108,MATCH(D142,Fixture!$A$5:$A$108,0)),0)=IFERROR(INDEX(Fixture!$J$5:$J$108,MATCH(D142,Fixture!$A$5:$A$108,0)),0))),IFERROR(INDEX(Fases!$D$5:$D$10,MATCH(IFERROR(INDEX(Fixture!$B$5:$B$108,MATCH(D142,Fixture!$A$5:$A$108,0)),0),Fases!$A$5:$A$10,0)),0),0))))</f>
        <v/>
      </c>
      <c r="M142" s="10" t="str">
        <f aca="false">IFERROR(INDEX(Fixture!$K$5:$K$108,MATCH(D142,Fixture!$A$5:$A$108,0)),"")</f>
        <v>PENDIENTE</v>
      </c>
    </row>
    <row r="143" customFormat="false" ht="15" hidden="false" customHeight="false" outlineLevel="0" collapsed="false">
      <c r="A143" s="11" t="n">
        <v>139</v>
      </c>
      <c r="B143" s="11" t="n">
        <v>2</v>
      </c>
      <c r="C143" s="12" t="str">
        <f aca="false">IFERROR(INDEX(Usuarios!$C$5:$C$200,MATCH(B143,Usuarios!$A$5:$A$200,0)),"")</f>
        <v>mari23</v>
      </c>
      <c r="D143" s="11" t="n">
        <v>36</v>
      </c>
      <c r="E143" s="12" t="str">
        <f aca="false">IFERROR(INDEX(Fases!$B$5:$B$10,MATCH(INDEX(Fixture!$B$5:$B$108,MATCH(D143,Fixture!$A$5:$A$108,0)),Fases!$A$5:$A$10,0)),"")</f>
        <v>Grupos</v>
      </c>
      <c r="F143" s="12" t="str">
        <f aca="false">IFERROR(INDEX(Fixture!$E$5:$E$108,MATCH(D143,Fixture!$A$5:$A$108,0)),"")</f>
        <v>Países Bajos</v>
      </c>
      <c r="G143" s="12" t="str">
        <f aca="false">IFERROR(INDEX(Fixture!$F$5:$F$108,MATCH(D143,Fixture!$A$5:$A$108,0)),"")</f>
        <v>Bélgica</v>
      </c>
      <c r="H143" s="20" t="n">
        <f aca="false">IFERROR(INDEX(Fixture!$G$5:$G$108,MATCH(D143,Fixture!$A$5:$A$108,0)),"")</f>
        <v>46195.75</v>
      </c>
      <c r="I143" s="21"/>
      <c r="J143" s="21"/>
      <c r="K143" s="12" t="str">
        <f aca="false">IFERROR(INDEX(Fixture!$I$5:$I$108,MATCH(D143,Fixture!$A$5:$A$108,0))&amp;"-"&amp;INDEX(Fixture!$J$5:$J$108,MATCH(D143,Fixture!$A$5:$A$108,0)),"")</f>
        <v>-</v>
      </c>
      <c r="L143" s="11" t="str">
        <f aca="false">IF(M143&lt;&gt;"FINALIZADO","",IF(OR(ISBLANK(I143),ISBLANK(J143)),0,IF(AND(I143=IFERROR(INDEX(Fixture!$I$5:$I$108,MATCH(D143,Fixture!$A$5:$A$108,0)),"-999"),J143=IFERROR(INDEX(Fixture!$J$5:$J$108,MATCH(D143,Fixture!$A$5:$A$108,0)),"-999")),IFERROR(INDEX(Fases!$C$5:$C$10,MATCH(IFERROR(INDEX(Fixture!$B$5:$B$108,MATCH(D143,Fixture!$A$5:$A$108,0)),0),Fases!$A$5:$A$10,0)),0),IF(OR(AND(I143&gt;J143,IFERROR(INDEX(Fixture!$I$5:$I$108,MATCH(D143,Fixture!$A$5:$A$108,0)),0)&gt;IFERROR(INDEX(Fixture!$J$5:$J$108,MATCH(D143,Fixture!$A$5:$A$108,0)),0)),AND(I143&lt;J143,IFERROR(INDEX(Fixture!$I$5:$I$108,MATCH(D143,Fixture!$A$5:$A$108,0)),0)&lt;IFERROR(INDEX(Fixture!$J$5:$J$108,MATCH(D143,Fixture!$A$5:$A$108,0)),0)),AND(I143=J143,IFERROR(INDEX(Fixture!$I$5:$I$108,MATCH(D143,Fixture!$A$5:$A$108,0)),0)=IFERROR(INDEX(Fixture!$J$5:$J$108,MATCH(D143,Fixture!$A$5:$A$108,0)),0))),IFERROR(INDEX(Fases!$D$5:$D$10,MATCH(IFERROR(INDEX(Fixture!$B$5:$B$108,MATCH(D143,Fixture!$A$5:$A$108,0)),0),Fases!$A$5:$A$10,0)),0),0))))</f>
        <v/>
      </c>
      <c r="M143" s="12" t="str">
        <f aca="false">IFERROR(INDEX(Fixture!$K$5:$K$108,MATCH(D143,Fixture!$A$5:$A$108,0)),"")</f>
        <v>PENDIENTE</v>
      </c>
    </row>
    <row r="144" customFormat="false" ht="15" hidden="false" customHeight="false" outlineLevel="0" collapsed="false">
      <c r="A144" s="9" t="n">
        <v>140</v>
      </c>
      <c r="B144" s="9" t="n">
        <v>2</v>
      </c>
      <c r="C144" s="10" t="str">
        <f aca="false">IFERROR(INDEX(Usuarios!$C$5:$C$200,MATCH(B144,Usuarios!$A$5:$A$200,0)),"")</f>
        <v>mari23</v>
      </c>
      <c r="D144" s="9" t="n">
        <v>37</v>
      </c>
      <c r="E144" s="10" t="str">
        <f aca="false">IFERROR(INDEX(Fases!$B$5:$B$10,MATCH(INDEX(Fixture!$B$5:$B$108,MATCH(D144,Fixture!$A$5:$A$108,0)),Fases!$A$5:$A$10,0)),"")</f>
        <v>Grupos</v>
      </c>
      <c r="F144" s="10" t="str">
        <f aca="false">IFERROR(INDEX(Fixture!$E$5:$E$108,MATCH(D144,Fixture!$A$5:$A$108,0)),"")</f>
        <v>Croacia</v>
      </c>
      <c r="G144" s="10" t="str">
        <f aca="false">IFERROR(INDEX(Fixture!$F$5:$F$108,MATCH(D144,Fixture!$A$5:$A$108,0)),"")</f>
        <v>Suiza</v>
      </c>
      <c r="H144" s="22" t="n">
        <f aca="false">IFERROR(INDEX(Fixture!$G$5:$G$108,MATCH(D144,Fixture!$A$5:$A$108,0)),"")</f>
        <v>46196.625</v>
      </c>
      <c r="I144" s="23"/>
      <c r="J144" s="23"/>
      <c r="K144" s="10" t="str">
        <f aca="false">IFERROR(INDEX(Fixture!$I$5:$I$108,MATCH(D144,Fixture!$A$5:$A$108,0))&amp;"-"&amp;INDEX(Fixture!$J$5:$J$108,MATCH(D144,Fixture!$A$5:$A$108,0)),"")</f>
        <v>-</v>
      </c>
      <c r="L144" s="9" t="str">
        <f aca="false">IF(M144&lt;&gt;"FINALIZADO","",IF(OR(ISBLANK(I144),ISBLANK(J144)),0,IF(AND(I144=IFERROR(INDEX(Fixture!$I$5:$I$108,MATCH(D144,Fixture!$A$5:$A$108,0)),"-999"),J144=IFERROR(INDEX(Fixture!$J$5:$J$108,MATCH(D144,Fixture!$A$5:$A$108,0)),"-999")),IFERROR(INDEX(Fases!$C$5:$C$10,MATCH(IFERROR(INDEX(Fixture!$B$5:$B$108,MATCH(D144,Fixture!$A$5:$A$108,0)),0),Fases!$A$5:$A$10,0)),0),IF(OR(AND(I144&gt;J144,IFERROR(INDEX(Fixture!$I$5:$I$108,MATCH(D144,Fixture!$A$5:$A$108,0)),0)&gt;IFERROR(INDEX(Fixture!$J$5:$J$108,MATCH(D144,Fixture!$A$5:$A$108,0)),0)),AND(I144&lt;J144,IFERROR(INDEX(Fixture!$I$5:$I$108,MATCH(D144,Fixture!$A$5:$A$108,0)),0)&lt;IFERROR(INDEX(Fixture!$J$5:$J$108,MATCH(D144,Fixture!$A$5:$A$108,0)),0)),AND(I144=J144,IFERROR(INDEX(Fixture!$I$5:$I$108,MATCH(D144,Fixture!$A$5:$A$108,0)),0)=IFERROR(INDEX(Fixture!$J$5:$J$108,MATCH(D144,Fixture!$A$5:$A$108,0)),0))),IFERROR(INDEX(Fases!$D$5:$D$10,MATCH(IFERROR(INDEX(Fixture!$B$5:$B$108,MATCH(D144,Fixture!$A$5:$A$108,0)),0),Fases!$A$5:$A$10,0)),0),0))))</f>
        <v/>
      </c>
      <c r="M144" s="10" t="str">
        <f aca="false">IFERROR(INDEX(Fixture!$K$5:$K$108,MATCH(D144,Fixture!$A$5:$A$108,0)),"")</f>
        <v>PENDIENTE</v>
      </c>
    </row>
    <row r="145" customFormat="false" ht="15" hidden="false" customHeight="false" outlineLevel="0" collapsed="false">
      <c r="A145" s="11" t="n">
        <v>141</v>
      </c>
      <c r="B145" s="11" t="n">
        <v>2</v>
      </c>
      <c r="C145" s="12" t="str">
        <f aca="false">IFERROR(INDEX(Usuarios!$C$5:$C$200,MATCH(B145,Usuarios!$A$5:$A$200,0)),"")</f>
        <v>mari23</v>
      </c>
      <c r="D145" s="11" t="n">
        <v>38</v>
      </c>
      <c r="E145" s="12" t="str">
        <f aca="false">IFERROR(INDEX(Fases!$B$5:$B$10,MATCH(INDEX(Fixture!$B$5:$B$108,MATCH(D145,Fixture!$A$5:$A$108,0)),Fases!$A$5:$A$10,0)),"")</f>
        <v>Grupos</v>
      </c>
      <c r="F145" s="12" t="str">
        <f aca="false">IFERROR(INDEX(Fixture!$E$5:$E$108,MATCH(D145,Fixture!$A$5:$A$108,0)),"")</f>
        <v>Croacia</v>
      </c>
      <c r="G145" s="12" t="str">
        <f aca="false">IFERROR(INDEX(Fixture!$F$5:$F$108,MATCH(D145,Fixture!$A$5:$A$108,0)),"")</f>
        <v>Austria</v>
      </c>
      <c r="H145" s="20" t="n">
        <f aca="false">IFERROR(INDEX(Fixture!$G$5:$G$108,MATCH(D145,Fixture!$A$5:$A$108,0)),"")</f>
        <v>46196.75</v>
      </c>
      <c r="I145" s="21"/>
      <c r="J145" s="21"/>
      <c r="K145" s="12" t="str">
        <f aca="false">IFERROR(INDEX(Fixture!$I$5:$I$108,MATCH(D145,Fixture!$A$5:$A$108,0))&amp;"-"&amp;INDEX(Fixture!$J$5:$J$108,MATCH(D145,Fixture!$A$5:$A$108,0)),"")</f>
        <v>-</v>
      </c>
      <c r="L145" s="11" t="str">
        <f aca="false">IF(M145&lt;&gt;"FINALIZADO","",IF(OR(ISBLANK(I145),ISBLANK(J145)),0,IF(AND(I145=IFERROR(INDEX(Fixture!$I$5:$I$108,MATCH(D145,Fixture!$A$5:$A$108,0)),"-999"),J145=IFERROR(INDEX(Fixture!$J$5:$J$108,MATCH(D145,Fixture!$A$5:$A$108,0)),"-999")),IFERROR(INDEX(Fases!$C$5:$C$10,MATCH(IFERROR(INDEX(Fixture!$B$5:$B$108,MATCH(D145,Fixture!$A$5:$A$108,0)),0),Fases!$A$5:$A$10,0)),0),IF(OR(AND(I145&gt;J145,IFERROR(INDEX(Fixture!$I$5:$I$108,MATCH(D145,Fixture!$A$5:$A$108,0)),0)&gt;IFERROR(INDEX(Fixture!$J$5:$J$108,MATCH(D145,Fixture!$A$5:$A$108,0)),0)),AND(I145&lt;J145,IFERROR(INDEX(Fixture!$I$5:$I$108,MATCH(D145,Fixture!$A$5:$A$108,0)),0)&lt;IFERROR(INDEX(Fixture!$J$5:$J$108,MATCH(D145,Fixture!$A$5:$A$108,0)),0)),AND(I145=J145,IFERROR(INDEX(Fixture!$I$5:$I$108,MATCH(D145,Fixture!$A$5:$A$108,0)),0)=IFERROR(INDEX(Fixture!$J$5:$J$108,MATCH(D145,Fixture!$A$5:$A$108,0)),0))),IFERROR(INDEX(Fases!$D$5:$D$10,MATCH(IFERROR(INDEX(Fixture!$B$5:$B$108,MATCH(D145,Fixture!$A$5:$A$108,0)),0),Fases!$A$5:$A$10,0)),0),0))))</f>
        <v/>
      </c>
      <c r="M145" s="12" t="str">
        <f aca="false">IFERROR(INDEX(Fixture!$K$5:$K$108,MATCH(D145,Fixture!$A$5:$A$108,0)),"")</f>
        <v>PENDIENTE</v>
      </c>
    </row>
    <row r="146" customFormat="false" ht="15" hidden="false" customHeight="false" outlineLevel="0" collapsed="false">
      <c r="A146" s="9" t="n">
        <v>142</v>
      </c>
      <c r="B146" s="9" t="n">
        <v>2</v>
      </c>
      <c r="C146" s="10" t="str">
        <f aca="false">IFERROR(INDEX(Usuarios!$C$5:$C$200,MATCH(B146,Usuarios!$A$5:$A$200,0)),"")</f>
        <v>mari23</v>
      </c>
      <c r="D146" s="9" t="n">
        <v>39</v>
      </c>
      <c r="E146" s="10" t="str">
        <f aca="false">IFERROR(INDEX(Fases!$B$5:$B$10,MATCH(INDEX(Fixture!$B$5:$B$108,MATCH(D146,Fixture!$A$5:$A$108,0)),Fases!$A$5:$A$10,0)),"")</f>
        <v>Grupos</v>
      </c>
      <c r="F146" s="10" t="str">
        <f aca="false">IFERROR(INDEX(Fixture!$E$5:$E$108,MATCH(D146,Fixture!$A$5:$A$108,0)),"")</f>
        <v>Croacia</v>
      </c>
      <c r="G146" s="10" t="str">
        <f aca="false">IFERROR(INDEX(Fixture!$F$5:$F$108,MATCH(D146,Fixture!$A$5:$A$108,0)),"")</f>
        <v>Hungría</v>
      </c>
      <c r="H146" s="22" t="n">
        <f aca="false">IFERROR(INDEX(Fixture!$G$5:$G$108,MATCH(D146,Fixture!$A$5:$A$108,0)),"")</f>
        <v>46196.875</v>
      </c>
      <c r="I146" s="23"/>
      <c r="J146" s="23"/>
      <c r="K146" s="10" t="str">
        <f aca="false">IFERROR(INDEX(Fixture!$I$5:$I$108,MATCH(D146,Fixture!$A$5:$A$108,0))&amp;"-"&amp;INDEX(Fixture!$J$5:$J$108,MATCH(D146,Fixture!$A$5:$A$108,0)),"")</f>
        <v>-</v>
      </c>
      <c r="L146" s="9" t="str">
        <f aca="false">IF(M146&lt;&gt;"FINALIZADO","",IF(OR(ISBLANK(I146),ISBLANK(J146)),0,IF(AND(I146=IFERROR(INDEX(Fixture!$I$5:$I$108,MATCH(D146,Fixture!$A$5:$A$108,0)),"-999"),J146=IFERROR(INDEX(Fixture!$J$5:$J$108,MATCH(D146,Fixture!$A$5:$A$108,0)),"-999")),IFERROR(INDEX(Fases!$C$5:$C$10,MATCH(IFERROR(INDEX(Fixture!$B$5:$B$108,MATCH(D146,Fixture!$A$5:$A$108,0)),0),Fases!$A$5:$A$10,0)),0),IF(OR(AND(I146&gt;J146,IFERROR(INDEX(Fixture!$I$5:$I$108,MATCH(D146,Fixture!$A$5:$A$108,0)),0)&gt;IFERROR(INDEX(Fixture!$J$5:$J$108,MATCH(D146,Fixture!$A$5:$A$108,0)),0)),AND(I146&lt;J146,IFERROR(INDEX(Fixture!$I$5:$I$108,MATCH(D146,Fixture!$A$5:$A$108,0)),0)&lt;IFERROR(INDEX(Fixture!$J$5:$J$108,MATCH(D146,Fixture!$A$5:$A$108,0)),0)),AND(I146=J146,IFERROR(INDEX(Fixture!$I$5:$I$108,MATCH(D146,Fixture!$A$5:$A$108,0)),0)=IFERROR(INDEX(Fixture!$J$5:$J$108,MATCH(D146,Fixture!$A$5:$A$108,0)),0))),IFERROR(INDEX(Fases!$D$5:$D$10,MATCH(IFERROR(INDEX(Fixture!$B$5:$B$108,MATCH(D146,Fixture!$A$5:$A$108,0)),0),Fases!$A$5:$A$10,0)),0),0))))</f>
        <v/>
      </c>
      <c r="M146" s="10" t="str">
        <f aca="false">IFERROR(INDEX(Fixture!$K$5:$K$108,MATCH(D146,Fixture!$A$5:$A$108,0)),"")</f>
        <v>PENDIENTE</v>
      </c>
    </row>
    <row r="147" customFormat="false" ht="15" hidden="false" customHeight="false" outlineLevel="0" collapsed="false">
      <c r="A147" s="11" t="n">
        <v>143</v>
      </c>
      <c r="B147" s="11" t="n">
        <v>2</v>
      </c>
      <c r="C147" s="12" t="str">
        <f aca="false">IFERROR(INDEX(Usuarios!$C$5:$C$200,MATCH(B147,Usuarios!$A$5:$A$200,0)),"")</f>
        <v>mari23</v>
      </c>
      <c r="D147" s="11" t="n">
        <v>40</v>
      </c>
      <c r="E147" s="12" t="str">
        <f aca="false">IFERROR(INDEX(Fases!$B$5:$B$10,MATCH(INDEX(Fixture!$B$5:$B$108,MATCH(D147,Fixture!$A$5:$A$108,0)),Fases!$A$5:$A$10,0)),"")</f>
        <v>Grupos</v>
      </c>
      <c r="F147" s="12" t="str">
        <f aca="false">IFERROR(INDEX(Fixture!$E$5:$E$108,MATCH(D147,Fixture!$A$5:$A$108,0)),"")</f>
        <v>Suiza</v>
      </c>
      <c r="G147" s="12" t="str">
        <f aca="false">IFERROR(INDEX(Fixture!$F$5:$F$108,MATCH(D147,Fixture!$A$5:$A$108,0)),"")</f>
        <v>Austria</v>
      </c>
      <c r="H147" s="20" t="n">
        <f aca="false">IFERROR(INDEX(Fixture!$G$5:$G$108,MATCH(D147,Fixture!$A$5:$A$108,0)),"")</f>
        <v>46197</v>
      </c>
      <c r="I147" s="21"/>
      <c r="J147" s="21"/>
      <c r="K147" s="12" t="str">
        <f aca="false">IFERROR(INDEX(Fixture!$I$5:$I$108,MATCH(D147,Fixture!$A$5:$A$108,0))&amp;"-"&amp;INDEX(Fixture!$J$5:$J$108,MATCH(D147,Fixture!$A$5:$A$108,0)),"")</f>
        <v>-</v>
      </c>
      <c r="L147" s="11" t="str">
        <f aca="false">IF(M147&lt;&gt;"FINALIZADO","",IF(OR(ISBLANK(I147),ISBLANK(J147)),0,IF(AND(I147=IFERROR(INDEX(Fixture!$I$5:$I$108,MATCH(D147,Fixture!$A$5:$A$108,0)),"-999"),J147=IFERROR(INDEX(Fixture!$J$5:$J$108,MATCH(D147,Fixture!$A$5:$A$108,0)),"-999")),IFERROR(INDEX(Fases!$C$5:$C$10,MATCH(IFERROR(INDEX(Fixture!$B$5:$B$108,MATCH(D147,Fixture!$A$5:$A$108,0)),0),Fases!$A$5:$A$10,0)),0),IF(OR(AND(I147&gt;J147,IFERROR(INDEX(Fixture!$I$5:$I$108,MATCH(D147,Fixture!$A$5:$A$108,0)),0)&gt;IFERROR(INDEX(Fixture!$J$5:$J$108,MATCH(D147,Fixture!$A$5:$A$108,0)),0)),AND(I147&lt;J147,IFERROR(INDEX(Fixture!$I$5:$I$108,MATCH(D147,Fixture!$A$5:$A$108,0)),0)&lt;IFERROR(INDEX(Fixture!$J$5:$J$108,MATCH(D147,Fixture!$A$5:$A$108,0)),0)),AND(I147=J147,IFERROR(INDEX(Fixture!$I$5:$I$108,MATCH(D147,Fixture!$A$5:$A$108,0)),0)=IFERROR(INDEX(Fixture!$J$5:$J$108,MATCH(D147,Fixture!$A$5:$A$108,0)),0))),IFERROR(INDEX(Fases!$D$5:$D$10,MATCH(IFERROR(INDEX(Fixture!$B$5:$B$108,MATCH(D147,Fixture!$A$5:$A$108,0)),0),Fases!$A$5:$A$10,0)),0),0))))</f>
        <v/>
      </c>
      <c r="M147" s="12" t="str">
        <f aca="false">IFERROR(INDEX(Fixture!$K$5:$K$108,MATCH(D147,Fixture!$A$5:$A$108,0)),"")</f>
        <v>PENDIENTE</v>
      </c>
    </row>
    <row r="148" customFormat="false" ht="15" hidden="false" customHeight="false" outlineLevel="0" collapsed="false">
      <c r="A148" s="9" t="n">
        <v>144</v>
      </c>
      <c r="B148" s="9" t="n">
        <v>2</v>
      </c>
      <c r="C148" s="10" t="str">
        <f aca="false">IFERROR(INDEX(Usuarios!$C$5:$C$200,MATCH(B148,Usuarios!$A$5:$A$200,0)),"")</f>
        <v>mari23</v>
      </c>
      <c r="D148" s="9" t="n">
        <v>41</v>
      </c>
      <c r="E148" s="10" t="str">
        <f aca="false">IFERROR(INDEX(Fases!$B$5:$B$10,MATCH(INDEX(Fixture!$B$5:$B$108,MATCH(D148,Fixture!$A$5:$A$108,0)),Fases!$A$5:$A$10,0)),"")</f>
        <v>Grupos</v>
      </c>
      <c r="F148" s="10" t="str">
        <f aca="false">IFERROR(INDEX(Fixture!$E$5:$E$108,MATCH(D148,Fixture!$A$5:$A$108,0)),"")</f>
        <v>Suiza</v>
      </c>
      <c r="G148" s="10" t="str">
        <f aca="false">IFERROR(INDEX(Fixture!$F$5:$F$108,MATCH(D148,Fixture!$A$5:$A$108,0)),"")</f>
        <v>Hungría</v>
      </c>
      <c r="H148" s="22" t="n">
        <f aca="false">IFERROR(INDEX(Fixture!$G$5:$G$108,MATCH(D148,Fixture!$A$5:$A$108,0)),"")</f>
        <v>46197.625</v>
      </c>
      <c r="I148" s="23"/>
      <c r="J148" s="23"/>
      <c r="K148" s="10" t="str">
        <f aca="false">IFERROR(INDEX(Fixture!$I$5:$I$108,MATCH(D148,Fixture!$A$5:$A$108,0))&amp;"-"&amp;INDEX(Fixture!$J$5:$J$108,MATCH(D148,Fixture!$A$5:$A$108,0)),"")</f>
        <v>-</v>
      </c>
      <c r="L148" s="9" t="str">
        <f aca="false">IF(M148&lt;&gt;"FINALIZADO","",IF(OR(ISBLANK(I148),ISBLANK(J148)),0,IF(AND(I148=IFERROR(INDEX(Fixture!$I$5:$I$108,MATCH(D148,Fixture!$A$5:$A$108,0)),"-999"),J148=IFERROR(INDEX(Fixture!$J$5:$J$108,MATCH(D148,Fixture!$A$5:$A$108,0)),"-999")),IFERROR(INDEX(Fases!$C$5:$C$10,MATCH(IFERROR(INDEX(Fixture!$B$5:$B$108,MATCH(D148,Fixture!$A$5:$A$108,0)),0),Fases!$A$5:$A$10,0)),0),IF(OR(AND(I148&gt;J148,IFERROR(INDEX(Fixture!$I$5:$I$108,MATCH(D148,Fixture!$A$5:$A$108,0)),0)&gt;IFERROR(INDEX(Fixture!$J$5:$J$108,MATCH(D148,Fixture!$A$5:$A$108,0)),0)),AND(I148&lt;J148,IFERROR(INDEX(Fixture!$I$5:$I$108,MATCH(D148,Fixture!$A$5:$A$108,0)),0)&lt;IFERROR(INDEX(Fixture!$J$5:$J$108,MATCH(D148,Fixture!$A$5:$A$108,0)),0)),AND(I148=J148,IFERROR(INDEX(Fixture!$I$5:$I$108,MATCH(D148,Fixture!$A$5:$A$108,0)),0)=IFERROR(INDEX(Fixture!$J$5:$J$108,MATCH(D148,Fixture!$A$5:$A$108,0)),0))),IFERROR(INDEX(Fases!$D$5:$D$10,MATCH(IFERROR(INDEX(Fixture!$B$5:$B$108,MATCH(D148,Fixture!$A$5:$A$108,0)),0),Fases!$A$5:$A$10,0)),0),0))))</f>
        <v/>
      </c>
      <c r="M148" s="10" t="str">
        <f aca="false">IFERROR(INDEX(Fixture!$K$5:$K$108,MATCH(D148,Fixture!$A$5:$A$108,0)),"")</f>
        <v>PENDIENTE</v>
      </c>
    </row>
    <row r="149" customFormat="false" ht="15" hidden="false" customHeight="false" outlineLevel="0" collapsed="false">
      <c r="A149" s="11" t="n">
        <v>145</v>
      </c>
      <c r="B149" s="11" t="n">
        <v>2</v>
      </c>
      <c r="C149" s="12" t="str">
        <f aca="false">IFERROR(INDEX(Usuarios!$C$5:$C$200,MATCH(B149,Usuarios!$A$5:$A$200,0)),"")</f>
        <v>mari23</v>
      </c>
      <c r="D149" s="11" t="n">
        <v>42</v>
      </c>
      <c r="E149" s="12" t="str">
        <f aca="false">IFERROR(INDEX(Fases!$B$5:$B$10,MATCH(INDEX(Fixture!$B$5:$B$108,MATCH(D149,Fixture!$A$5:$A$108,0)),Fases!$A$5:$A$10,0)),"")</f>
        <v>Grupos</v>
      </c>
      <c r="F149" s="12" t="str">
        <f aca="false">IFERROR(INDEX(Fixture!$E$5:$E$108,MATCH(D149,Fixture!$A$5:$A$108,0)),"")</f>
        <v>Austria</v>
      </c>
      <c r="G149" s="12" t="str">
        <f aca="false">IFERROR(INDEX(Fixture!$F$5:$F$108,MATCH(D149,Fixture!$A$5:$A$108,0)),"")</f>
        <v>Hungría</v>
      </c>
      <c r="H149" s="20" t="n">
        <f aca="false">IFERROR(INDEX(Fixture!$G$5:$G$108,MATCH(D149,Fixture!$A$5:$A$108,0)),"")</f>
        <v>46197.75</v>
      </c>
      <c r="I149" s="21"/>
      <c r="J149" s="21"/>
      <c r="K149" s="12" t="str">
        <f aca="false">IFERROR(INDEX(Fixture!$I$5:$I$108,MATCH(D149,Fixture!$A$5:$A$108,0))&amp;"-"&amp;INDEX(Fixture!$J$5:$J$108,MATCH(D149,Fixture!$A$5:$A$108,0)),"")</f>
        <v>-</v>
      </c>
      <c r="L149" s="11" t="str">
        <f aca="false">IF(M149&lt;&gt;"FINALIZADO","",IF(OR(ISBLANK(I149),ISBLANK(J149)),0,IF(AND(I149=IFERROR(INDEX(Fixture!$I$5:$I$108,MATCH(D149,Fixture!$A$5:$A$108,0)),"-999"),J149=IFERROR(INDEX(Fixture!$J$5:$J$108,MATCH(D149,Fixture!$A$5:$A$108,0)),"-999")),IFERROR(INDEX(Fases!$C$5:$C$10,MATCH(IFERROR(INDEX(Fixture!$B$5:$B$108,MATCH(D149,Fixture!$A$5:$A$108,0)),0),Fases!$A$5:$A$10,0)),0),IF(OR(AND(I149&gt;J149,IFERROR(INDEX(Fixture!$I$5:$I$108,MATCH(D149,Fixture!$A$5:$A$108,0)),0)&gt;IFERROR(INDEX(Fixture!$J$5:$J$108,MATCH(D149,Fixture!$A$5:$A$108,0)),0)),AND(I149&lt;J149,IFERROR(INDEX(Fixture!$I$5:$I$108,MATCH(D149,Fixture!$A$5:$A$108,0)),0)&lt;IFERROR(INDEX(Fixture!$J$5:$J$108,MATCH(D149,Fixture!$A$5:$A$108,0)),0)),AND(I149=J149,IFERROR(INDEX(Fixture!$I$5:$I$108,MATCH(D149,Fixture!$A$5:$A$108,0)),0)=IFERROR(INDEX(Fixture!$J$5:$J$108,MATCH(D149,Fixture!$A$5:$A$108,0)),0))),IFERROR(INDEX(Fases!$D$5:$D$10,MATCH(IFERROR(INDEX(Fixture!$B$5:$B$108,MATCH(D149,Fixture!$A$5:$A$108,0)),0),Fases!$A$5:$A$10,0)),0),0))))</f>
        <v/>
      </c>
      <c r="M149" s="12" t="str">
        <f aca="false">IFERROR(INDEX(Fixture!$K$5:$K$108,MATCH(D149,Fixture!$A$5:$A$108,0)),"")</f>
        <v>PENDIENTE</v>
      </c>
    </row>
    <row r="150" customFormat="false" ht="15" hidden="false" customHeight="false" outlineLevel="0" collapsed="false">
      <c r="A150" s="9" t="n">
        <v>146</v>
      </c>
      <c r="B150" s="9" t="n">
        <v>2</v>
      </c>
      <c r="C150" s="10" t="str">
        <f aca="false">IFERROR(INDEX(Usuarios!$C$5:$C$200,MATCH(B150,Usuarios!$A$5:$A$200,0)),"")</f>
        <v>mari23</v>
      </c>
      <c r="D150" s="9" t="n">
        <v>43</v>
      </c>
      <c r="E150" s="10" t="str">
        <f aca="false">IFERROR(INDEX(Fases!$B$5:$B$10,MATCH(INDEX(Fixture!$B$5:$B$108,MATCH(D150,Fixture!$A$5:$A$108,0)),Fases!$A$5:$A$10,0)),"")</f>
        <v>Grupos</v>
      </c>
      <c r="F150" s="10" t="str">
        <f aca="false">IFERROR(INDEX(Fixture!$E$5:$E$108,MATCH(D150,Fixture!$A$5:$A$108,0)),"")</f>
        <v>Turquía</v>
      </c>
      <c r="G150" s="10" t="str">
        <f aca="false">IFERROR(INDEX(Fixture!$F$5:$F$108,MATCH(D150,Fixture!$A$5:$A$108,0)),"")</f>
        <v>Escocia</v>
      </c>
      <c r="H150" s="22" t="n">
        <f aca="false">IFERROR(INDEX(Fixture!$G$5:$G$108,MATCH(D150,Fixture!$A$5:$A$108,0)),"")</f>
        <v>46198.625</v>
      </c>
      <c r="I150" s="23"/>
      <c r="J150" s="23"/>
      <c r="K150" s="10" t="str">
        <f aca="false">IFERROR(INDEX(Fixture!$I$5:$I$108,MATCH(D150,Fixture!$A$5:$A$108,0))&amp;"-"&amp;INDEX(Fixture!$J$5:$J$108,MATCH(D150,Fixture!$A$5:$A$108,0)),"")</f>
        <v>-</v>
      </c>
      <c r="L150" s="9" t="str">
        <f aca="false">IF(M150&lt;&gt;"FINALIZADO","",IF(OR(ISBLANK(I150),ISBLANK(J150)),0,IF(AND(I150=IFERROR(INDEX(Fixture!$I$5:$I$108,MATCH(D150,Fixture!$A$5:$A$108,0)),"-999"),J150=IFERROR(INDEX(Fixture!$J$5:$J$108,MATCH(D150,Fixture!$A$5:$A$108,0)),"-999")),IFERROR(INDEX(Fases!$C$5:$C$10,MATCH(IFERROR(INDEX(Fixture!$B$5:$B$108,MATCH(D150,Fixture!$A$5:$A$108,0)),0),Fases!$A$5:$A$10,0)),0),IF(OR(AND(I150&gt;J150,IFERROR(INDEX(Fixture!$I$5:$I$108,MATCH(D150,Fixture!$A$5:$A$108,0)),0)&gt;IFERROR(INDEX(Fixture!$J$5:$J$108,MATCH(D150,Fixture!$A$5:$A$108,0)),0)),AND(I150&lt;J150,IFERROR(INDEX(Fixture!$I$5:$I$108,MATCH(D150,Fixture!$A$5:$A$108,0)),0)&lt;IFERROR(INDEX(Fixture!$J$5:$J$108,MATCH(D150,Fixture!$A$5:$A$108,0)),0)),AND(I150=J150,IFERROR(INDEX(Fixture!$I$5:$I$108,MATCH(D150,Fixture!$A$5:$A$108,0)),0)=IFERROR(INDEX(Fixture!$J$5:$J$108,MATCH(D150,Fixture!$A$5:$A$108,0)),0))),IFERROR(INDEX(Fases!$D$5:$D$10,MATCH(IFERROR(INDEX(Fixture!$B$5:$B$108,MATCH(D150,Fixture!$A$5:$A$108,0)),0),Fases!$A$5:$A$10,0)),0),0))))</f>
        <v/>
      </c>
      <c r="M150" s="10" t="str">
        <f aca="false">IFERROR(INDEX(Fixture!$K$5:$K$108,MATCH(D150,Fixture!$A$5:$A$108,0)),"")</f>
        <v>PENDIENTE</v>
      </c>
    </row>
    <row r="151" customFormat="false" ht="15" hidden="false" customHeight="false" outlineLevel="0" collapsed="false">
      <c r="A151" s="11" t="n">
        <v>147</v>
      </c>
      <c r="B151" s="11" t="n">
        <v>2</v>
      </c>
      <c r="C151" s="12" t="str">
        <f aca="false">IFERROR(INDEX(Usuarios!$C$5:$C$200,MATCH(B151,Usuarios!$A$5:$A$200,0)),"")</f>
        <v>mari23</v>
      </c>
      <c r="D151" s="11" t="n">
        <v>44</v>
      </c>
      <c r="E151" s="12" t="str">
        <f aca="false">IFERROR(INDEX(Fases!$B$5:$B$10,MATCH(INDEX(Fixture!$B$5:$B$108,MATCH(D151,Fixture!$A$5:$A$108,0)),Fases!$A$5:$A$10,0)),"")</f>
        <v>Grupos</v>
      </c>
      <c r="F151" s="12" t="str">
        <f aca="false">IFERROR(INDEX(Fixture!$E$5:$E$108,MATCH(D151,Fixture!$A$5:$A$108,0)),"")</f>
        <v>Turquía</v>
      </c>
      <c r="G151" s="12" t="str">
        <f aca="false">IFERROR(INDEX(Fixture!$F$5:$F$108,MATCH(D151,Fixture!$A$5:$A$108,0)),"")</f>
        <v>Serbia</v>
      </c>
      <c r="H151" s="20" t="n">
        <f aca="false">IFERROR(INDEX(Fixture!$G$5:$G$108,MATCH(D151,Fixture!$A$5:$A$108,0)),"")</f>
        <v>46198.75</v>
      </c>
      <c r="I151" s="21"/>
      <c r="J151" s="21"/>
      <c r="K151" s="12" t="str">
        <f aca="false">IFERROR(INDEX(Fixture!$I$5:$I$108,MATCH(D151,Fixture!$A$5:$A$108,0))&amp;"-"&amp;INDEX(Fixture!$J$5:$J$108,MATCH(D151,Fixture!$A$5:$A$108,0)),"")</f>
        <v>-</v>
      </c>
      <c r="L151" s="11" t="str">
        <f aca="false">IF(M151&lt;&gt;"FINALIZADO","",IF(OR(ISBLANK(I151),ISBLANK(J151)),0,IF(AND(I151=IFERROR(INDEX(Fixture!$I$5:$I$108,MATCH(D151,Fixture!$A$5:$A$108,0)),"-999"),J151=IFERROR(INDEX(Fixture!$J$5:$J$108,MATCH(D151,Fixture!$A$5:$A$108,0)),"-999")),IFERROR(INDEX(Fases!$C$5:$C$10,MATCH(IFERROR(INDEX(Fixture!$B$5:$B$108,MATCH(D151,Fixture!$A$5:$A$108,0)),0),Fases!$A$5:$A$10,0)),0),IF(OR(AND(I151&gt;J151,IFERROR(INDEX(Fixture!$I$5:$I$108,MATCH(D151,Fixture!$A$5:$A$108,0)),0)&gt;IFERROR(INDEX(Fixture!$J$5:$J$108,MATCH(D151,Fixture!$A$5:$A$108,0)),0)),AND(I151&lt;J151,IFERROR(INDEX(Fixture!$I$5:$I$108,MATCH(D151,Fixture!$A$5:$A$108,0)),0)&lt;IFERROR(INDEX(Fixture!$J$5:$J$108,MATCH(D151,Fixture!$A$5:$A$108,0)),0)),AND(I151=J151,IFERROR(INDEX(Fixture!$I$5:$I$108,MATCH(D151,Fixture!$A$5:$A$108,0)),0)=IFERROR(INDEX(Fixture!$J$5:$J$108,MATCH(D151,Fixture!$A$5:$A$108,0)),0))),IFERROR(INDEX(Fases!$D$5:$D$10,MATCH(IFERROR(INDEX(Fixture!$B$5:$B$108,MATCH(D151,Fixture!$A$5:$A$108,0)),0),Fases!$A$5:$A$10,0)),0),0))))</f>
        <v/>
      </c>
      <c r="M151" s="12" t="str">
        <f aca="false">IFERROR(INDEX(Fixture!$K$5:$K$108,MATCH(D151,Fixture!$A$5:$A$108,0)),"")</f>
        <v>PENDIENTE</v>
      </c>
    </row>
    <row r="152" customFormat="false" ht="15" hidden="false" customHeight="false" outlineLevel="0" collapsed="false">
      <c r="A152" s="9" t="n">
        <v>148</v>
      </c>
      <c r="B152" s="9" t="n">
        <v>2</v>
      </c>
      <c r="C152" s="10" t="str">
        <f aca="false">IFERROR(INDEX(Usuarios!$C$5:$C$200,MATCH(B152,Usuarios!$A$5:$A$200,0)),"")</f>
        <v>mari23</v>
      </c>
      <c r="D152" s="9" t="n">
        <v>45</v>
      </c>
      <c r="E152" s="10" t="str">
        <f aca="false">IFERROR(INDEX(Fases!$B$5:$B$10,MATCH(INDEX(Fixture!$B$5:$B$108,MATCH(D152,Fixture!$A$5:$A$108,0)),Fases!$A$5:$A$10,0)),"")</f>
        <v>Grupos</v>
      </c>
      <c r="F152" s="10" t="str">
        <f aca="false">IFERROR(INDEX(Fixture!$E$5:$E$108,MATCH(D152,Fixture!$A$5:$A$108,0)),"")</f>
        <v>Turquía</v>
      </c>
      <c r="G152" s="10" t="str">
        <f aca="false">IFERROR(INDEX(Fixture!$F$5:$F$108,MATCH(D152,Fixture!$A$5:$A$108,0)),"")</f>
        <v>República Checa</v>
      </c>
      <c r="H152" s="22" t="n">
        <f aca="false">IFERROR(INDEX(Fixture!$G$5:$G$108,MATCH(D152,Fixture!$A$5:$A$108,0)),"")</f>
        <v>46198.875</v>
      </c>
      <c r="I152" s="23"/>
      <c r="J152" s="23"/>
      <c r="K152" s="10" t="str">
        <f aca="false">IFERROR(INDEX(Fixture!$I$5:$I$108,MATCH(D152,Fixture!$A$5:$A$108,0))&amp;"-"&amp;INDEX(Fixture!$J$5:$J$108,MATCH(D152,Fixture!$A$5:$A$108,0)),"")</f>
        <v>-</v>
      </c>
      <c r="L152" s="9" t="str">
        <f aca="false">IF(M152&lt;&gt;"FINALIZADO","",IF(OR(ISBLANK(I152),ISBLANK(J152)),0,IF(AND(I152=IFERROR(INDEX(Fixture!$I$5:$I$108,MATCH(D152,Fixture!$A$5:$A$108,0)),"-999"),J152=IFERROR(INDEX(Fixture!$J$5:$J$108,MATCH(D152,Fixture!$A$5:$A$108,0)),"-999")),IFERROR(INDEX(Fases!$C$5:$C$10,MATCH(IFERROR(INDEX(Fixture!$B$5:$B$108,MATCH(D152,Fixture!$A$5:$A$108,0)),0),Fases!$A$5:$A$10,0)),0),IF(OR(AND(I152&gt;J152,IFERROR(INDEX(Fixture!$I$5:$I$108,MATCH(D152,Fixture!$A$5:$A$108,0)),0)&gt;IFERROR(INDEX(Fixture!$J$5:$J$108,MATCH(D152,Fixture!$A$5:$A$108,0)),0)),AND(I152&lt;J152,IFERROR(INDEX(Fixture!$I$5:$I$108,MATCH(D152,Fixture!$A$5:$A$108,0)),0)&lt;IFERROR(INDEX(Fixture!$J$5:$J$108,MATCH(D152,Fixture!$A$5:$A$108,0)),0)),AND(I152=J152,IFERROR(INDEX(Fixture!$I$5:$I$108,MATCH(D152,Fixture!$A$5:$A$108,0)),0)=IFERROR(INDEX(Fixture!$J$5:$J$108,MATCH(D152,Fixture!$A$5:$A$108,0)),0))),IFERROR(INDEX(Fases!$D$5:$D$10,MATCH(IFERROR(INDEX(Fixture!$B$5:$B$108,MATCH(D152,Fixture!$A$5:$A$108,0)),0),Fases!$A$5:$A$10,0)),0),0))))</f>
        <v/>
      </c>
      <c r="M152" s="10" t="str">
        <f aca="false">IFERROR(INDEX(Fixture!$K$5:$K$108,MATCH(D152,Fixture!$A$5:$A$108,0)),"")</f>
        <v>PENDIENTE</v>
      </c>
    </row>
    <row r="153" customFormat="false" ht="15" hidden="false" customHeight="false" outlineLevel="0" collapsed="false">
      <c r="A153" s="11" t="n">
        <v>149</v>
      </c>
      <c r="B153" s="11" t="n">
        <v>2</v>
      </c>
      <c r="C153" s="12" t="str">
        <f aca="false">IFERROR(INDEX(Usuarios!$C$5:$C$200,MATCH(B153,Usuarios!$A$5:$A$200,0)),"")</f>
        <v>mari23</v>
      </c>
      <c r="D153" s="11" t="n">
        <v>46</v>
      </c>
      <c r="E153" s="12" t="str">
        <f aca="false">IFERROR(INDEX(Fases!$B$5:$B$10,MATCH(INDEX(Fixture!$B$5:$B$108,MATCH(D153,Fixture!$A$5:$A$108,0)),Fases!$A$5:$A$10,0)),"")</f>
        <v>Grupos</v>
      </c>
      <c r="F153" s="12" t="str">
        <f aca="false">IFERROR(INDEX(Fixture!$E$5:$E$108,MATCH(D153,Fixture!$A$5:$A$108,0)),"")</f>
        <v>Escocia</v>
      </c>
      <c r="G153" s="12" t="str">
        <f aca="false">IFERROR(INDEX(Fixture!$F$5:$F$108,MATCH(D153,Fixture!$A$5:$A$108,0)),"")</f>
        <v>Serbia</v>
      </c>
      <c r="H153" s="20" t="n">
        <f aca="false">IFERROR(INDEX(Fixture!$G$5:$G$108,MATCH(D153,Fixture!$A$5:$A$108,0)),"")</f>
        <v>46199</v>
      </c>
      <c r="I153" s="21"/>
      <c r="J153" s="21"/>
      <c r="K153" s="12" t="str">
        <f aca="false">IFERROR(INDEX(Fixture!$I$5:$I$108,MATCH(D153,Fixture!$A$5:$A$108,0))&amp;"-"&amp;INDEX(Fixture!$J$5:$J$108,MATCH(D153,Fixture!$A$5:$A$108,0)),"")</f>
        <v>-</v>
      </c>
      <c r="L153" s="11" t="str">
        <f aca="false">IF(M153&lt;&gt;"FINALIZADO","",IF(OR(ISBLANK(I153),ISBLANK(J153)),0,IF(AND(I153=IFERROR(INDEX(Fixture!$I$5:$I$108,MATCH(D153,Fixture!$A$5:$A$108,0)),"-999"),J153=IFERROR(INDEX(Fixture!$J$5:$J$108,MATCH(D153,Fixture!$A$5:$A$108,0)),"-999")),IFERROR(INDEX(Fases!$C$5:$C$10,MATCH(IFERROR(INDEX(Fixture!$B$5:$B$108,MATCH(D153,Fixture!$A$5:$A$108,0)),0),Fases!$A$5:$A$10,0)),0),IF(OR(AND(I153&gt;J153,IFERROR(INDEX(Fixture!$I$5:$I$108,MATCH(D153,Fixture!$A$5:$A$108,0)),0)&gt;IFERROR(INDEX(Fixture!$J$5:$J$108,MATCH(D153,Fixture!$A$5:$A$108,0)),0)),AND(I153&lt;J153,IFERROR(INDEX(Fixture!$I$5:$I$108,MATCH(D153,Fixture!$A$5:$A$108,0)),0)&lt;IFERROR(INDEX(Fixture!$J$5:$J$108,MATCH(D153,Fixture!$A$5:$A$108,0)),0)),AND(I153=J153,IFERROR(INDEX(Fixture!$I$5:$I$108,MATCH(D153,Fixture!$A$5:$A$108,0)),0)=IFERROR(INDEX(Fixture!$J$5:$J$108,MATCH(D153,Fixture!$A$5:$A$108,0)),0))),IFERROR(INDEX(Fases!$D$5:$D$10,MATCH(IFERROR(INDEX(Fixture!$B$5:$B$108,MATCH(D153,Fixture!$A$5:$A$108,0)),0),Fases!$A$5:$A$10,0)),0),0))))</f>
        <v/>
      </c>
      <c r="M153" s="12" t="str">
        <f aca="false">IFERROR(INDEX(Fixture!$K$5:$K$108,MATCH(D153,Fixture!$A$5:$A$108,0)),"")</f>
        <v>PENDIENTE</v>
      </c>
    </row>
    <row r="154" customFormat="false" ht="15" hidden="false" customHeight="false" outlineLevel="0" collapsed="false">
      <c r="A154" s="9" t="n">
        <v>150</v>
      </c>
      <c r="B154" s="9" t="n">
        <v>2</v>
      </c>
      <c r="C154" s="10" t="str">
        <f aca="false">IFERROR(INDEX(Usuarios!$C$5:$C$200,MATCH(B154,Usuarios!$A$5:$A$200,0)),"")</f>
        <v>mari23</v>
      </c>
      <c r="D154" s="9" t="n">
        <v>47</v>
      </c>
      <c r="E154" s="10" t="str">
        <f aca="false">IFERROR(INDEX(Fases!$B$5:$B$10,MATCH(INDEX(Fixture!$B$5:$B$108,MATCH(D154,Fixture!$A$5:$A$108,0)),Fases!$A$5:$A$10,0)),"")</f>
        <v>Grupos</v>
      </c>
      <c r="F154" s="10" t="str">
        <f aca="false">IFERROR(INDEX(Fixture!$E$5:$E$108,MATCH(D154,Fixture!$A$5:$A$108,0)),"")</f>
        <v>Escocia</v>
      </c>
      <c r="G154" s="10" t="str">
        <f aca="false">IFERROR(INDEX(Fixture!$F$5:$F$108,MATCH(D154,Fixture!$A$5:$A$108,0)),"")</f>
        <v>República Checa</v>
      </c>
      <c r="H154" s="22" t="n">
        <f aca="false">IFERROR(INDEX(Fixture!$G$5:$G$108,MATCH(D154,Fixture!$A$5:$A$108,0)),"")</f>
        <v>46199.625</v>
      </c>
      <c r="I154" s="23"/>
      <c r="J154" s="23"/>
      <c r="K154" s="10" t="str">
        <f aca="false">IFERROR(INDEX(Fixture!$I$5:$I$108,MATCH(D154,Fixture!$A$5:$A$108,0))&amp;"-"&amp;INDEX(Fixture!$J$5:$J$108,MATCH(D154,Fixture!$A$5:$A$108,0)),"")</f>
        <v>-</v>
      </c>
      <c r="L154" s="9" t="str">
        <f aca="false">IF(M154&lt;&gt;"FINALIZADO","",IF(OR(ISBLANK(I154),ISBLANK(J154)),0,IF(AND(I154=IFERROR(INDEX(Fixture!$I$5:$I$108,MATCH(D154,Fixture!$A$5:$A$108,0)),"-999"),J154=IFERROR(INDEX(Fixture!$J$5:$J$108,MATCH(D154,Fixture!$A$5:$A$108,0)),"-999")),IFERROR(INDEX(Fases!$C$5:$C$10,MATCH(IFERROR(INDEX(Fixture!$B$5:$B$108,MATCH(D154,Fixture!$A$5:$A$108,0)),0),Fases!$A$5:$A$10,0)),0),IF(OR(AND(I154&gt;J154,IFERROR(INDEX(Fixture!$I$5:$I$108,MATCH(D154,Fixture!$A$5:$A$108,0)),0)&gt;IFERROR(INDEX(Fixture!$J$5:$J$108,MATCH(D154,Fixture!$A$5:$A$108,0)),0)),AND(I154&lt;J154,IFERROR(INDEX(Fixture!$I$5:$I$108,MATCH(D154,Fixture!$A$5:$A$108,0)),0)&lt;IFERROR(INDEX(Fixture!$J$5:$J$108,MATCH(D154,Fixture!$A$5:$A$108,0)),0)),AND(I154=J154,IFERROR(INDEX(Fixture!$I$5:$I$108,MATCH(D154,Fixture!$A$5:$A$108,0)),0)=IFERROR(INDEX(Fixture!$J$5:$J$108,MATCH(D154,Fixture!$A$5:$A$108,0)),0))),IFERROR(INDEX(Fases!$D$5:$D$10,MATCH(IFERROR(INDEX(Fixture!$B$5:$B$108,MATCH(D154,Fixture!$A$5:$A$108,0)),0),Fases!$A$5:$A$10,0)),0),0))))</f>
        <v/>
      </c>
      <c r="M154" s="10" t="str">
        <f aca="false">IFERROR(INDEX(Fixture!$K$5:$K$108,MATCH(D154,Fixture!$A$5:$A$108,0)),"")</f>
        <v>PENDIENTE</v>
      </c>
    </row>
    <row r="155" customFormat="false" ht="15" hidden="false" customHeight="false" outlineLevel="0" collapsed="false">
      <c r="A155" s="11" t="n">
        <v>151</v>
      </c>
      <c r="B155" s="11" t="n">
        <v>2</v>
      </c>
      <c r="C155" s="12" t="str">
        <f aca="false">IFERROR(INDEX(Usuarios!$C$5:$C$200,MATCH(B155,Usuarios!$A$5:$A$200,0)),"")</f>
        <v>mari23</v>
      </c>
      <c r="D155" s="11" t="n">
        <v>48</v>
      </c>
      <c r="E155" s="12" t="str">
        <f aca="false">IFERROR(INDEX(Fases!$B$5:$B$10,MATCH(INDEX(Fixture!$B$5:$B$108,MATCH(D155,Fixture!$A$5:$A$108,0)),Fases!$A$5:$A$10,0)),"")</f>
        <v>Grupos</v>
      </c>
      <c r="F155" s="12" t="str">
        <f aca="false">IFERROR(INDEX(Fixture!$E$5:$E$108,MATCH(D155,Fixture!$A$5:$A$108,0)),"")</f>
        <v>Serbia</v>
      </c>
      <c r="G155" s="12" t="str">
        <f aca="false">IFERROR(INDEX(Fixture!$F$5:$F$108,MATCH(D155,Fixture!$A$5:$A$108,0)),"")</f>
        <v>República Checa</v>
      </c>
      <c r="H155" s="20" t="n">
        <f aca="false">IFERROR(INDEX(Fixture!$G$5:$G$108,MATCH(D155,Fixture!$A$5:$A$108,0)),"")</f>
        <v>46199.75</v>
      </c>
      <c r="I155" s="21"/>
      <c r="J155" s="21"/>
      <c r="K155" s="12" t="str">
        <f aca="false">IFERROR(INDEX(Fixture!$I$5:$I$108,MATCH(D155,Fixture!$A$5:$A$108,0))&amp;"-"&amp;INDEX(Fixture!$J$5:$J$108,MATCH(D155,Fixture!$A$5:$A$108,0)),"")</f>
        <v>-</v>
      </c>
      <c r="L155" s="11" t="str">
        <f aca="false">IF(M155&lt;&gt;"FINALIZADO","",IF(OR(ISBLANK(I155),ISBLANK(J155)),0,IF(AND(I155=IFERROR(INDEX(Fixture!$I$5:$I$108,MATCH(D155,Fixture!$A$5:$A$108,0)),"-999"),J155=IFERROR(INDEX(Fixture!$J$5:$J$108,MATCH(D155,Fixture!$A$5:$A$108,0)),"-999")),IFERROR(INDEX(Fases!$C$5:$C$10,MATCH(IFERROR(INDEX(Fixture!$B$5:$B$108,MATCH(D155,Fixture!$A$5:$A$108,0)),0),Fases!$A$5:$A$10,0)),0),IF(OR(AND(I155&gt;J155,IFERROR(INDEX(Fixture!$I$5:$I$108,MATCH(D155,Fixture!$A$5:$A$108,0)),0)&gt;IFERROR(INDEX(Fixture!$J$5:$J$108,MATCH(D155,Fixture!$A$5:$A$108,0)),0)),AND(I155&lt;J155,IFERROR(INDEX(Fixture!$I$5:$I$108,MATCH(D155,Fixture!$A$5:$A$108,0)),0)&lt;IFERROR(INDEX(Fixture!$J$5:$J$108,MATCH(D155,Fixture!$A$5:$A$108,0)),0)),AND(I155=J155,IFERROR(INDEX(Fixture!$I$5:$I$108,MATCH(D155,Fixture!$A$5:$A$108,0)),0)=IFERROR(INDEX(Fixture!$J$5:$J$108,MATCH(D155,Fixture!$A$5:$A$108,0)),0))),IFERROR(INDEX(Fases!$D$5:$D$10,MATCH(IFERROR(INDEX(Fixture!$B$5:$B$108,MATCH(D155,Fixture!$A$5:$A$108,0)),0),Fases!$A$5:$A$10,0)),0),0))))</f>
        <v/>
      </c>
      <c r="M155" s="12" t="str">
        <f aca="false">IFERROR(INDEX(Fixture!$K$5:$K$108,MATCH(D155,Fixture!$A$5:$A$108,0)),"")</f>
        <v>PENDIENTE</v>
      </c>
    </row>
    <row r="156" customFormat="false" ht="15" hidden="false" customHeight="false" outlineLevel="0" collapsed="false">
      <c r="A156" s="9" t="n">
        <v>152</v>
      </c>
      <c r="B156" s="9" t="n">
        <v>2</v>
      </c>
      <c r="C156" s="10" t="str">
        <f aca="false">IFERROR(INDEX(Usuarios!$C$5:$C$200,MATCH(B156,Usuarios!$A$5:$A$200,0)),"")</f>
        <v>mari23</v>
      </c>
      <c r="D156" s="9" t="n">
        <v>49</v>
      </c>
      <c r="E156" s="10" t="str">
        <f aca="false">IFERROR(INDEX(Fases!$B$5:$B$10,MATCH(INDEX(Fixture!$B$5:$B$108,MATCH(D156,Fixture!$A$5:$A$108,0)),Fases!$A$5:$A$10,0)),"")</f>
        <v>Grupos</v>
      </c>
      <c r="F156" s="10" t="str">
        <f aca="false">IFERROR(INDEX(Fixture!$E$5:$E$108,MATCH(D156,Fixture!$A$5:$A$108,0)),"")</f>
        <v>Marruecos</v>
      </c>
      <c r="G156" s="10" t="str">
        <f aca="false">IFERROR(INDEX(Fixture!$F$5:$F$108,MATCH(D156,Fixture!$A$5:$A$108,0)),"")</f>
        <v>Senegal</v>
      </c>
      <c r="H156" s="22" t="n">
        <f aca="false">IFERROR(INDEX(Fixture!$G$5:$G$108,MATCH(D156,Fixture!$A$5:$A$108,0)),"")</f>
        <v>46200.625</v>
      </c>
      <c r="I156" s="23"/>
      <c r="J156" s="23"/>
      <c r="K156" s="10" t="str">
        <f aca="false">IFERROR(INDEX(Fixture!$I$5:$I$108,MATCH(D156,Fixture!$A$5:$A$108,0))&amp;"-"&amp;INDEX(Fixture!$J$5:$J$108,MATCH(D156,Fixture!$A$5:$A$108,0)),"")</f>
        <v>-</v>
      </c>
      <c r="L156" s="9" t="str">
        <f aca="false">IF(M156&lt;&gt;"FINALIZADO","",IF(OR(ISBLANK(I156),ISBLANK(J156)),0,IF(AND(I156=IFERROR(INDEX(Fixture!$I$5:$I$108,MATCH(D156,Fixture!$A$5:$A$108,0)),"-999"),J156=IFERROR(INDEX(Fixture!$J$5:$J$108,MATCH(D156,Fixture!$A$5:$A$108,0)),"-999")),IFERROR(INDEX(Fases!$C$5:$C$10,MATCH(IFERROR(INDEX(Fixture!$B$5:$B$108,MATCH(D156,Fixture!$A$5:$A$108,0)),0),Fases!$A$5:$A$10,0)),0),IF(OR(AND(I156&gt;J156,IFERROR(INDEX(Fixture!$I$5:$I$108,MATCH(D156,Fixture!$A$5:$A$108,0)),0)&gt;IFERROR(INDEX(Fixture!$J$5:$J$108,MATCH(D156,Fixture!$A$5:$A$108,0)),0)),AND(I156&lt;J156,IFERROR(INDEX(Fixture!$I$5:$I$108,MATCH(D156,Fixture!$A$5:$A$108,0)),0)&lt;IFERROR(INDEX(Fixture!$J$5:$J$108,MATCH(D156,Fixture!$A$5:$A$108,0)),0)),AND(I156=J156,IFERROR(INDEX(Fixture!$I$5:$I$108,MATCH(D156,Fixture!$A$5:$A$108,0)),0)=IFERROR(INDEX(Fixture!$J$5:$J$108,MATCH(D156,Fixture!$A$5:$A$108,0)),0))),IFERROR(INDEX(Fases!$D$5:$D$10,MATCH(IFERROR(INDEX(Fixture!$B$5:$B$108,MATCH(D156,Fixture!$A$5:$A$108,0)),0),Fases!$A$5:$A$10,0)),0),0))))</f>
        <v/>
      </c>
      <c r="M156" s="10" t="str">
        <f aca="false">IFERROR(INDEX(Fixture!$K$5:$K$108,MATCH(D156,Fixture!$A$5:$A$108,0)),"")</f>
        <v>PENDIENTE</v>
      </c>
    </row>
    <row r="157" customFormat="false" ht="15" hidden="false" customHeight="false" outlineLevel="0" collapsed="false">
      <c r="A157" s="11" t="n">
        <v>153</v>
      </c>
      <c r="B157" s="11" t="n">
        <v>2</v>
      </c>
      <c r="C157" s="12" t="str">
        <f aca="false">IFERROR(INDEX(Usuarios!$C$5:$C$200,MATCH(B157,Usuarios!$A$5:$A$200,0)),"")</f>
        <v>mari23</v>
      </c>
      <c r="D157" s="11" t="n">
        <v>50</v>
      </c>
      <c r="E157" s="12" t="str">
        <f aca="false">IFERROR(INDEX(Fases!$B$5:$B$10,MATCH(INDEX(Fixture!$B$5:$B$108,MATCH(D157,Fixture!$A$5:$A$108,0)),Fases!$A$5:$A$10,0)),"")</f>
        <v>Grupos</v>
      </c>
      <c r="F157" s="12" t="str">
        <f aca="false">IFERROR(INDEX(Fixture!$E$5:$E$108,MATCH(D157,Fixture!$A$5:$A$108,0)),"")</f>
        <v>Marruecos</v>
      </c>
      <c r="G157" s="12" t="str">
        <f aca="false">IFERROR(INDEX(Fixture!$F$5:$F$108,MATCH(D157,Fixture!$A$5:$A$108,0)),"")</f>
        <v>Nigeria</v>
      </c>
      <c r="H157" s="20" t="n">
        <f aca="false">IFERROR(INDEX(Fixture!$G$5:$G$108,MATCH(D157,Fixture!$A$5:$A$108,0)),"")</f>
        <v>46200.75</v>
      </c>
      <c r="I157" s="21"/>
      <c r="J157" s="21"/>
      <c r="K157" s="12" t="str">
        <f aca="false">IFERROR(INDEX(Fixture!$I$5:$I$108,MATCH(D157,Fixture!$A$5:$A$108,0))&amp;"-"&amp;INDEX(Fixture!$J$5:$J$108,MATCH(D157,Fixture!$A$5:$A$108,0)),"")</f>
        <v>-</v>
      </c>
      <c r="L157" s="11" t="str">
        <f aca="false">IF(M157&lt;&gt;"FINALIZADO","",IF(OR(ISBLANK(I157),ISBLANK(J157)),0,IF(AND(I157=IFERROR(INDEX(Fixture!$I$5:$I$108,MATCH(D157,Fixture!$A$5:$A$108,0)),"-999"),J157=IFERROR(INDEX(Fixture!$J$5:$J$108,MATCH(D157,Fixture!$A$5:$A$108,0)),"-999")),IFERROR(INDEX(Fases!$C$5:$C$10,MATCH(IFERROR(INDEX(Fixture!$B$5:$B$108,MATCH(D157,Fixture!$A$5:$A$108,0)),0),Fases!$A$5:$A$10,0)),0),IF(OR(AND(I157&gt;J157,IFERROR(INDEX(Fixture!$I$5:$I$108,MATCH(D157,Fixture!$A$5:$A$108,0)),0)&gt;IFERROR(INDEX(Fixture!$J$5:$J$108,MATCH(D157,Fixture!$A$5:$A$108,0)),0)),AND(I157&lt;J157,IFERROR(INDEX(Fixture!$I$5:$I$108,MATCH(D157,Fixture!$A$5:$A$108,0)),0)&lt;IFERROR(INDEX(Fixture!$J$5:$J$108,MATCH(D157,Fixture!$A$5:$A$108,0)),0)),AND(I157=J157,IFERROR(INDEX(Fixture!$I$5:$I$108,MATCH(D157,Fixture!$A$5:$A$108,0)),0)=IFERROR(INDEX(Fixture!$J$5:$J$108,MATCH(D157,Fixture!$A$5:$A$108,0)),0))),IFERROR(INDEX(Fases!$D$5:$D$10,MATCH(IFERROR(INDEX(Fixture!$B$5:$B$108,MATCH(D157,Fixture!$A$5:$A$108,0)),0),Fases!$A$5:$A$10,0)),0),0))))</f>
        <v/>
      </c>
      <c r="M157" s="12" t="str">
        <f aca="false">IFERROR(INDEX(Fixture!$K$5:$K$108,MATCH(D157,Fixture!$A$5:$A$108,0)),"")</f>
        <v>PENDIENTE</v>
      </c>
    </row>
    <row r="158" customFormat="false" ht="15" hidden="false" customHeight="false" outlineLevel="0" collapsed="false">
      <c r="A158" s="9" t="n">
        <v>154</v>
      </c>
      <c r="B158" s="9" t="n">
        <v>2</v>
      </c>
      <c r="C158" s="10" t="str">
        <f aca="false">IFERROR(INDEX(Usuarios!$C$5:$C$200,MATCH(B158,Usuarios!$A$5:$A$200,0)),"")</f>
        <v>mari23</v>
      </c>
      <c r="D158" s="9" t="n">
        <v>51</v>
      </c>
      <c r="E158" s="10" t="str">
        <f aca="false">IFERROR(INDEX(Fases!$B$5:$B$10,MATCH(INDEX(Fixture!$B$5:$B$108,MATCH(D158,Fixture!$A$5:$A$108,0)),Fases!$A$5:$A$10,0)),"")</f>
        <v>Grupos</v>
      </c>
      <c r="F158" s="10" t="str">
        <f aca="false">IFERROR(INDEX(Fixture!$E$5:$E$108,MATCH(D158,Fixture!$A$5:$A$108,0)),"")</f>
        <v>Marruecos</v>
      </c>
      <c r="G158" s="10" t="str">
        <f aca="false">IFERROR(INDEX(Fixture!$F$5:$F$108,MATCH(D158,Fixture!$A$5:$A$108,0)),"")</f>
        <v>Camerún</v>
      </c>
      <c r="H158" s="22" t="n">
        <f aca="false">IFERROR(INDEX(Fixture!$G$5:$G$108,MATCH(D158,Fixture!$A$5:$A$108,0)),"")</f>
        <v>46200.875</v>
      </c>
      <c r="I158" s="23"/>
      <c r="J158" s="23"/>
      <c r="K158" s="10" t="str">
        <f aca="false">IFERROR(INDEX(Fixture!$I$5:$I$108,MATCH(D158,Fixture!$A$5:$A$108,0))&amp;"-"&amp;INDEX(Fixture!$J$5:$J$108,MATCH(D158,Fixture!$A$5:$A$108,0)),"")</f>
        <v>-</v>
      </c>
      <c r="L158" s="9" t="str">
        <f aca="false">IF(M158&lt;&gt;"FINALIZADO","",IF(OR(ISBLANK(I158),ISBLANK(J158)),0,IF(AND(I158=IFERROR(INDEX(Fixture!$I$5:$I$108,MATCH(D158,Fixture!$A$5:$A$108,0)),"-999"),J158=IFERROR(INDEX(Fixture!$J$5:$J$108,MATCH(D158,Fixture!$A$5:$A$108,0)),"-999")),IFERROR(INDEX(Fases!$C$5:$C$10,MATCH(IFERROR(INDEX(Fixture!$B$5:$B$108,MATCH(D158,Fixture!$A$5:$A$108,0)),0),Fases!$A$5:$A$10,0)),0),IF(OR(AND(I158&gt;J158,IFERROR(INDEX(Fixture!$I$5:$I$108,MATCH(D158,Fixture!$A$5:$A$108,0)),0)&gt;IFERROR(INDEX(Fixture!$J$5:$J$108,MATCH(D158,Fixture!$A$5:$A$108,0)),0)),AND(I158&lt;J158,IFERROR(INDEX(Fixture!$I$5:$I$108,MATCH(D158,Fixture!$A$5:$A$108,0)),0)&lt;IFERROR(INDEX(Fixture!$J$5:$J$108,MATCH(D158,Fixture!$A$5:$A$108,0)),0)),AND(I158=J158,IFERROR(INDEX(Fixture!$I$5:$I$108,MATCH(D158,Fixture!$A$5:$A$108,0)),0)=IFERROR(INDEX(Fixture!$J$5:$J$108,MATCH(D158,Fixture!$A$5:$A$108,0)),0))),IFERROR(INDEX(Fases!$D$5:$D$10,MATCH(IFERROR(INDEX(Fixture!$B$5:$B$108,MATCH(D158,Fixture!$A$5:$A$108,0)),0),Fases!$A$5:$A$10,0)),0),0))))</f>
        <v/>
      </c>
      <c r="M158" s="10" t="str">
        <f aca="false">IFERROR(INDEX(Fixture!$K$5:$K$108,MATCH(D158,Fixture!$A$5:$A$108,0)),"")</f>
        <v>PENDIENTE</v>
      </c>
    </row>
    <row r="159" customFormat="false" ht="15" hidden="false" customHeight="false" outlineLevel="0" collapsed="false">
      <c r="A159" s="11" t="n">
        <v>155</v>
      </c>
      <c r="B159" s="11" t="n">
        <v>2</v>
      </c>
      <c r="C159" s="12" t="str">
        <f aca="false">IFERROR(INDEX(Usuarios!$C$5:$C$200,MATCH(B159,Usuarios!$A$5:$A$200,0)),"")</f>
        <v>mari23</v>
      </c>
      <c r="D159" s="11" t="n">
        <v>52</v>
      </c>
      <c r="E159" s="12" t="str">
        <f aca="false">IFERROR(INDEX(Fases!$B$5:$B$10,MATCH(INDEX(Fixture!$B$5:$B$108,MATCH(D159,Fixture!$A$5:$A$108,0)),Fases!$A$5:$A$10,0)),"")</f>
        <v>Grupos</v>
      </c>
      <c r="F159" s="12" t="str">
        <f aca="false">IFERROR(INDEX(Fixture!$E$5:$E$108,MATCH(D159,Fixture!$A$5:$A$108,0)),"")</f>
        <v>Senegal</v>
      </c>
      <c r="G159" s="12" t="str">
        <f aca="false">IFERROR(INDEX(Fixture!$F$5:$F$108,MATCH(D159,Fixture!$A$5:$A$108,0)),"")</f>
        <v>Nigeria</v>
      </c>
      <c r="H159" s="20" t="n">
        <f aca="false">IFERROR(INDEX(Fixture!$G$5:$G$108,MATCH(D159,Fixture!$A$5:$A$108,0)),"")</f>
        <v>46201</v>
      </c>
      <c r="I159" s="21"/>
      <c r="J159" s="21"/>
      <c r="K159" s="12" t="str">
        <f aca="false">IFERROR(INDEX(Fixture!$I$5:$I$108,MATCH(D159,Fixture!$A$5:$A$108,0))&amp;"-"&amp;INDEX(Fixture!$J$5:$J$108,MATCH(D159,Fixture!$A$5:$A$108,0)),"")</f>
        <v>-</v>
      </c>
      <c r="L159" s="11" t="str">
        <f aca="false">IF(M159&lt;&gt;"FINALIZADO","",IF(OR(ISBLANK(I159),ISBLANK(J159)),0,IF(AND(I159=IFERROR(INDEX(Fixture!$I$5:$I$108,MATCH(D159,Fixture!$A$5:$A$108,0)),"-999"),J159=IFERROR(INDEX(Fixture!$J$5:$J$108,MATCH(D159,Fixture!$A$5:$A$108,0)),"-999")),IFERROR(INDEX(Fases!$C$5:$C$10,MATCH(IFERROR(INDEX(Fixture!$B$5:$B$108,MATCH(D159,Fixture!$A$5:$A$108,0)),0),Fases!$A$5:$A$10,0)),0),IF(OR(AND(I159&gt;J159,IFERROR(INDEX(Fixture!$I$5:$I$108,MATCH(D159,Fixture!$A$5:$A$108,0)),0)&gt;IFERROR(INDEX(Fixture!$J$5:$J$108,MATCH(D159,Fixture!$A$5:$A$108,0)),0)),AND(I159&lt;J159,IFERROR(INDEX(Fixture!$I$5:$I$108,MATCH(D159,Fixture!$A$5:$A$108,0)),0)&lt;IFERROR(INDEX(Fixture!$J$5:$J$108,MATCH(D159,Fixture!$A$5:$A$108,0)),0)),AND(I159=J159,IFERROR(INDEX(Fixture!$I$5:$I$108,MATCH(D159,Fixture!$A$5:$A$108,0)),0)=IFERROR(INDEX(Fixture!$J$5:$J$108,MATCH(D159,Fixture!$A$5:$A$108,0)),0))),IFERROR(INDEX(Fases!$D$5:$D$10,MATCH(IFERROR(INDEX(Fixture!$B$5:$B$108,MATCH(D159,Fixture!$A$5:$A$108,0)),0),Fases!$A$5:$A$10,0)),0),0))))</f>
        <v/>
      </c>
      <c r="M159" s="12" t="str">
        <f aca="false">IFERROR(INDEX(Fixture!$K$5:$K$108,MATCH(D159,Fixture!$A$5:$A$108,0)),"")</f>
        <v>PENDIENTE</v>
      </c>
    </row>
    <row r="160" customFormat="false" ht="15" hidden="false" customHeight="false" outlineLevel="0" collapsed="false">
      <c r="A160" s="9" t="n">
        <v>156</v>
      </c>
      <c r="B160" s="9" t="n">
        <v>2</v>
      </c>
      <c r="C160" s="10" t="str">
        <f aca="false">IFERROR(INDEX(Usuarios!$C$5:$C$200,MATCH(B160,Usuarios!$A$5:$A$200,0)),"")</f>
        <v>mari23</v>
      </c>
      <c r="D160" s="9" t="n">
        <v>53</v>
      </c>
      <c r="E160" s="10" t="str">
        <f aca="false">IFERROR(INDEX(Fases!$B$5:$B$10,MATCH(INDEX(Fixture!$B$5:$B$108,MATCH(D160,Fixture!$A$5:$A$108,0)),Fases!$A$5:$A$10,0)),"")</f>
        <v>Grupos</v>
      </c>
      <c r="F160" s="10" t="str">
        <f aca="false">IFERROR(INDEX(Fixture!$E$5:$E$108,MATCH(D160,Fixture!$A$5:$A$108,0)),"")</f>
        <v>Senegal</v>
      </c>
      <c r="G160" s="10" t="str">
        <f aca="false">IFERROR(INDEX(Fixture!$F$5:$F$108,MATCH(D160,Fixture!$A$5:$A$108,0)),"")</f>
        <v>Camerún</v>
      </c>
      <c r="H160" s="22" t="n">
        <f aca="false">IFERROR(INDEX(Fixture!$G$5:$G$108,MATCH(D160,Fixture!$A$5:$A$108,0)),"")</f>
        <v>46201.625</v>
      </c>
      <c r="I160" s="23"/>
      <c r="J160" s="23"/>
      <c r="K160" s="10" t="str">
        <f aca="false">IFERROR(INDEX(Fixture!$I$5:$I$108,MATCH(D160,Fixture!$A$5:$A$108,0))&amp;"-"&amp;INDEX(Fixture!$J$5:$J$108,MATCH(D160,Fixture!$A$5:$A$108,0)),"")</f>
        <v>-</v>
      </c>
      <c r="L160" s="9" t="str">
        <f aca="false">IF(M160&lt;&gt;"FINALIZADO","",IF(OR(ISBLANK(I160),ISBLANK(J160)),0,IF(AND(I160=IFERROR(INDEX(Fixture!$I$5:$I$108,MATCH(D160,Fixture!$A$5:$A$108,0)),"-999"),J160=IFERROR(INDEX(Fixture!$J$5:$J$108,MATCH(D160,Fixture!$A$5:$A$108,0)),"-999")),IFERROR(INDEX(Fases!$C$5:$C$10,MATCH(IFERROR(INDEX(Fixture!$B$5:$B$108,MATCH(D160,Fixture!$A$5:$A$108,0)),0),Fases!$A$5:$A$10,0)),0),IF(OR(AND(I160&gt;J160,IFERROR(INDEX(Fixture!$I$5:$I$108,MATCH(D160,Fixture!$A$5:$A$108,0)),0)&gt;IFERROR(INDEX(Fixture!$J$5:$J$108,MATCH(D160,Fixture!$A$5:$A$108,0)),0)),AND(I160&lt;J160,IFERROR(INDEX(Fixture!$I$5:$I$108,MATCH(D160,Fixture!$A$5:$A$108,0)),0)&lt;IFERROR(INDEX(Fixture!$J$5:$J$108,MATCH(D160,Fixture!$A$5:$A$108,0)),0)),AND(I160=J160,IFERROR(INDEX(Fixture!$I$5:$I$108,MATCH(D160,Fixture!$A$5:$A$108,0)),0)=IFERROR(INDEX(Fixture!$J$5:$J$108,MATCH(D160,Fixture!$A$5:$A$108,0)),0))),IFERROR(INDEX(Fases!$D$5:$D$10,MATCH(IFERROR(INDEX(Fixture!$B$5:$B$108,MATCH(D160,Fixture!$A$5:$A$108,0)),0),Fases!$A$5:$A$10,0)),0),0))))</f>
        <v/>
      </c>
      <c r="M160" s="10" t="str">
        <f aca="false">IFERROR(INDEX(Fixture!$K$5:$K$108,MATCH(D160,Fixture!$A$5:$A$108,0)),"")</f>
        <v>PENDIENTE</v>
      </c>
    </row>
    <row r="161" customFormat="false" ht="15" hidden="false" customHeight="false" outlineLevel="0" collapsed="false">
      <c r="A161" s="11" t="n">
        <v>157</v>
      </c>
      <c r="B161" s="11" t="n">
        <v>2</v>
      </c>
      <c r="C161" s="12" t="str">
        <f aca="false">IFERROR(INDEX(Usuarios!$C$5:$C$200,MATCH(B161,Usuarios!$A$5:$A$200,0)),"")</f>
        <v>mari23</v>
      </c>
      <c r="D161" s="11" t="n">
        <v>54</v>
      </c>
      <c r="E161" s="12" t="str">
        <f aca="false">IFERROR(INDEX(Fases!$B$5:$B$10,MATCH(INDEX(Fixture!$B$5:$B$108,MATCH(D161,Fixture!$A$5:$A$108,0)),Fases!$A$5:$A$10,0)),"")</f>
        <v>Grupos</v>
      </c>
      <c r="F161" s="12" t="str">
        <f aca="false">IFERROR(INDEX(Fixture!$E$5:$E$108,MATCH(D161,Fixture!$A$5:$A$108,0)),"")</f>
        <v>Nigeria</v>
      </c>
      <c r="G161" s="12" t="str">
        <f aca="false">IFERROR(INDEX(Fixture!$F$5:$F$108,MATCH(D161,Fixture!$A$5:$A$108,0)),"")</f>
        <v>Camerún</v>
      </c>
      <c r="H161" s="20" t="n">
        <f aca="false">IFERROR(INDEX(Fixture!$G$5:$G$108,MATCH(D161,Fixture!$A$5:$A$108,0)),"")</f>
        <v>46201.75</v>
      </c>
      <c r="I161" s="21"/>
      <c r="J161" s="21"/>
      <c r="K161" s="12" t="str">
        <f aca="false">IFERROR(INDEX(Fixture!$I$5:$I$108,MATCH(D161,Fixture!$A$5:$A$108,0))&amp;"-"&amp;INDEX(Fixture!$J$5:$J$108,MATCH(D161,Fixture!$A$5:$A$108,0)),"")</f>
        <v>-</v>
      </c>
      <c r="L161" s="11" t="str">
        <f aca="false">IF(M161&lt;&gt;"FINALIZADO","",IF(OR(ISBLANK(I161),ISBLANK(J161)),0,IF(AND(I161=IFERROR(INDEX(Fixture!$I$5:$I$108,MATCH(D161,Fixture!$A$5:$A$108,0)),"-999"),J161=IFERROR(INDEX(Fixture!$J$5:$J$108,MATCH(D161,Fixture!$A$5:$A$108,0)),"-999")),IFERROR(INDEX(Fases!$C$5:$C$10,MATCH(IFERROR(INDEX(Fixture!$B$5:$B$108,MATCH(D161,Fixture!$A$5:$A$108,0)),0),Fases!$A$5:$A$10,0)),0),IF(OR(AND(I161&gt;J161,IFERROR(INDEX(Fixture!$I$5:$I$108,MATCH(D161,Fixture!$A$5:$A$108,0)),0)&gt;IFERROR(INDEX(Fixture!$J$5:$J$108,MATCH(D161,Fixture!$A$5:$A$108,0)),0)),AND(I161&lt;J161,IFERROR(INDEX(Fixture!$I$5:$I$108,MATCH(D161,Fixture!$A$5:$A$108,0)),0)&lt;IFERROR(INDEX(Fixture!$J$5:$J$108,MATCH(D161,Fixture!$A$5:$A$108,0)),0)),AND(I161=J161,IFERROR(INDEX(Fixture!$I$5:$I$108,MATCH(D161,Fixture!$A$5:$A$108,0)),0)=IFERROR(INDEX(Fixture!$J$5:$J$108,MATCH(D161,Fixture!$A$5:$A$108,0)),0))),IFERROR(INDEX(Fases!$D$5:$D$10,MATCH(IFERROR(INDEX(Fixture!$B$5:$B$108,MATCH(D161,Fixture!$A$5:$A$108,0)),0),Fases!$A$5:$A$10,0)),0),0))))</f>
        <v/>
      </c>
      <c r="M161" s="12" t="str">
        <f aca="false">IFERROR(INDEX(Fixture!$K$5:$K$108,MATCH(D161,Fixture!$A$5:$A$108,0)),"")</f>
        <v>PENDIENTE</v>
      </c>
    </row>
    <row r="162" customFormat="false" ht="15" hidden="false" customHeight="false" outlineLevel="0" collapsed="false">
      <c r="A162" s="9" t="n">
        <v>158</v>
      </c>
      <c r="B162" s="9" t="n">
        <v>2</v>
      </c>
      <c r="C162" s="10" t="str">
        <f aca="false">IFERROR(INDEX(Usuarios!$C$5:$C$200,MATCH(B162,Usuarios!$A$5:$A$200,0)),"")</f>
        <v>mari23</v>
      </c>
      <c r="D162" s="9" t="n">
        <v>55</v>
      </c>
      <c r="E162" s="10" t="str">
        <f aca="false">IFERROR(INDEX(Fases!$B$5:$B$10,MATCH(INDEX(Fixture!$B$5:$B$108,MATCH(D162,Fixture!$A$5:$A$108,0)),Fases!$A$5:$A$10,0)),"")</f>
        <v>Grupos</v>
      </c>
      <c r="F162" s="10" t="str">
        <f aca="false">IFERROR(INDEX(Fixture!$E$5:$E$108,MATCH(D162,Fixture!$A$5:$A$108,0)),"")</f>
        <v>Egipto</v>
      </c>
      <c r="G162" s="10" t="str">
        <f aca="false">IFERROR(INDEX(Fixture!$F$5:$F$108,MATCH(D162,Fixture!$A$5:$A$108,0)),"")</f>
        <v>Costa de Marfil</v>
      </c>
      <c r="H162" s="22" t="n">
        <f aca="false">IFERROR(INDEX(Fixture!$G$5:$G$108,MATCH(D162,Fixture!$A$5:$A$108,0)),"")</f>
        <v>46202.625</v>
      </c>
      <c r="I162" s="23"/>
      <c r="J162" s="23"/>
      <c r="K162" s="10" t="str">
        <f aca="false">IFERROR(INDEX(Fixture!$I$5:$I$108,MATCH(D162,Fixture!$A$5:$A$108,0))&amp;"-"&amp;INDEX(Fixture!$J$5:$J$108,MATCH(D162,Fixture!$A$5:$A$108,0)),"")</f>
        <v>-</v>
      </c>
      <c r="L162" s="9" t="str">
        <f aca="false">IF(M162&lt;&gt;"FINALIZADO","",IF(OR(ISBLANK(I162),ISBLANK(J162)),0,IF(AND(I162=IFERROR(INDEX(Fixture!$I$5:$I$108,MATCH(D162,Fixture!$A$5:$A$108,0)),"-999"),J162=IFERROR(INDEX(Fixture!$J$5:$J$108,MATCH(D162,Fixture!$A$5:$A$108,0)),"-999")),IFERROR(INDEX(Fases!$C$5:$C$10,MATCH(IFERROR(INDEX(Fixture!$B$5:$B$108,MATCH(D162,Fixture!$A$5:$A$108,0)),0),Fases!$A$5:$A$10,0)),0),IF(OR(AND(I162&gt;J162,IFERROR(INDEX(Fixture!$I$5:$I$108,MATCH(D162,Fixture!$A$5:$A$108,0)),0)&gt;IFERROR(INDEX(Fixture!$J$5:$J$108,MATCH(D162,Fixture!$A$5:$A$108,0)),0)),AND(I162&lt;J162,IFERROR(INDEX(Fixture!$I$5:$I$108,MATCH(D162,Fixture!$A$5:$A$108,0)),0)&lt;IFERROR(INDEX(Fixture!$J$5:$J$108,MATCH(D162,Fixture!$A$5:$A$108,0)),0)),AND(I162=J162,IFERROR(INDEX(Fixture!$I$5:$I$108,MATCH(D162,Fixture!$A$5:$A$108,0)),0)=IFERROR(INDEX(Fixture!$J$5:$J$108,MATCH(D162,Fixture!$A$5:$A$108,0)),0))),IFERROR(INDEX(Fases!$D$5:$D$10,MATCH(IFERROR(INDEX(Fixture!$B$5:$B$108,MATCH(D162,Fixture!$A$5:$A$108,0)),0),Fases!$A$5:$A$10,0)),0),0))))</f>
        <v/>
      </c>
      <c r="M162" s="10" t="str">
        <f aca="false">IFERROR(INDEX(Fixture!$K$5:$K$108,MATCH(D162,Fixture!$A$5:$A$108,0)),"")</f>
        <v>PENDIENTE</v>
      </c>
    </row>
    <row r="163" customFormat="false" ht="15" hidden="false" customHeight="false" outlineLevel="0" collapsed="false">
      <c r="A163" s="11" t="n">
        <v>159</v>
      </c>
      <c r="B163" s="11" t="n">
        <v>2</v>
      </c>
      <c r="C163" s="12" t="str">
        <f aca="false">IFERROR(INDEX(Usuarios!$C$5:$C$200,MATCH(B163,Usuarios!$A$5:$A$200,0)),"")</f>
        <v>mari23</v>
      </c>
      <c r="D163" s="11" t="n">
        <v>56</v>
      </c>
      <c r="E163" s="12" t="str">
        <f aca="false">IFERROR(INDEX(Fases!$B$5:$B$10,MATCH(INDEX(Fixture!$B$5:$B$108,MATCH(D163,Fixture!$A$5:$A$108,0)),Fases!$A$5:$A$10,0)),"")</f>
        <v>Grupos</v>
      </c>
      <c r="F163" s="12" t="str">
        <f aca="false">IFERROR(INDEX(Fixture!$E$5:$E$108,MATCH(D163,Fixture!$A$5:$A$108,0)),"")</f>
        <v>Egipto</v>
      </c>
      <c r="G163" s="12" t="str">
        <f aca="false">IFERROR(INDEX(Fixture!$F$5:$F$108,MATCH(D163,Fixture!$A$5:$A$108,0)),"")</f>
        <v>Sudáfrica</v>
      </c>
      <c r="H163" s="20" t="n">
        <f aca="false">IFERROR(INDEX(Fixture!$G$5:$G$108,MATCH(D163,Fixture!$A$5:$A$108,0)),"")</f>
        <v>46202.75</v>
      </c>
      <c r="I163" s="21"/>
      <c r="J163" s="21"/>
      <c r="K163" s="12" t="str">
        <f aca="false">IFERROR(INDEX(Fixture!$I$5:$I$108,MATCH(D163,Fixture!$A$5:$A$108,0))&amp;"-"&amp;INDEX(Fixture!$J$5:$J$108,MATCH(D163,Fixture!$A$5:$A$108,0)),"")</f>
        <v>-</v>
      </c>
      <c r="L163" s="11" t="str">
        <f aca="false">IF(M163&lt;&gt;"FINALIZADO","",IF(OR(ISBLANK(I163),ISBLANK(J163)),0,IF(AND(I163=IFERROR(INDEX(Fixture!$I$5:$I$108,MATCH(D163,Fixture!$A$5:$A$108,0)),"-999"),J163=IFERROR(INDEX(Fixture!$J$5:$J$108,MATCH(D163,Fixture!$A$5:$A$108,0)),"-999")),IFERROR(INDEX(Fases!$C$5:$C$10,MATCH(IFERROR(INDEX(Fixture!$B$5:$B$108,MATCH(D163,Fixture!$A$5:$A$108,0)),0),Fases!$A$5:$A$10,0)),0),IF(OR(AND(I163&gt;J163,IFERROR(INDEX(Fixture!$I$5:$I$108,MATCH(D163,Fixture!$A$5:$A$108,0)),0)&gt;IFERROR(INDEX(Fixture!$J$5:$J$108,MATCH(D163,Fixture!$A$5:$A$108,0)),0)),AND(I163&lt;J163,IFERROR(INDEX(Fixture!$I$5:$I$108,MATCH(D163,Fixture!$A$5:$A$108,0)),0)&lt;IFERROR(INDEX(Fixture!$J$5:$J$108,MATCH(D163,Fixture!$A$5:$A$108,0)),0)),AND(I163=J163,IFERROR(INDEX(Fixture!$I$5:$I$108,MATCH(D163,Fixture!$A$5:$A$108,0)),0)=IFERROR(INDEX(Fixture!$J$5:$J$108,MATCH(D163,Fixture!$A$5:$A$108,0)),0))),IFERROR(INDEX(Fases!$D$5:$D$10,MATCH(IFERROR(INDEX(Fixture!$B$5:$B$108,MATCH(D163,Fixture!$A$5:$A$108,0)),0),Fases!$A$5:$A$10,0)),0),0))))</f>
        <v/>
      </c>
      <c r="M163" s="12" t="str">
        <f aca="false">IFERROR(INDEX(Fixture!$K$5:$K$108,MATCH(D163,Fixture!$A$5:$A$108,0)),"")</f>
        <v>PENDIENTE</v>
      </c>
    </row>
    <row r="164" customFormat="false" ht="15" hidden="false" customHeight="false" outlineLevel="0" collapsed="false">
      <c r="A164" s="9" t="n">
        <v>160</v>
      </c>
      <c r="B164" s="9" t="n">
        <v>2</v>
      </c>
      <c r="C164" s="10" t="str">
        <f aca="false">IFERROR(INDEX(Usuarios!$C$5:$C$200,MATCH(B164,Usuarios!$A$5:$A$200,0)),"")</f>
        <v>mari23</v>
      </c>
      <c r="D164" s="9" t="n">
        <v>57</v>
      </c>
      <c r="E164" s="10" t="str">
        <f aca="false">IFERROR(INDEX(Fases!$B$5:$B$10,MATCH(INDEX(Fixture!$B$5:$B$108,MATCH(D164,Fixture!$A$5:$A$108,0)),Fases!$A$5:$A$10,0)),"")</f>
        <v>Grupos</v>
      </c>
      <c r="F164" s="10" t="str">
        <f aca="false">IFERROR(INDEX(Fixture!$E$5:$E$108,MATCH(D164,Fixture!$A$5:$A$108,0)),"")</f>
        <v>Egipto</v>
      </c>
      <c r="G164" s="10" t="str">
        <f aca="false">IFERROR(INDEX(Fixture!$F$5:$F$108,MATCH(D164,Fixture!$A$5:$A$108,0)),"")</f>
        <v>Ghana</v>
      </c>
      <c r="H164" s="22" t="n">
        <f aca="false">IFERROR(INDEX(Fixture!$G$5:$G$108,MATCH(D164,Fixture!$A$5:$A$108,0)),"")</f>
        <v>46202.875</v>
      </c>
      <c r="I164" s="23"/>
      <c r="J164" s="23"/>
      <c r="K164" s="10" t="str">
        <f aca="false">IFERROR(INDEX(Fixture!$I$5:$I$108,MATCH(D164,Fixture!$A$5:$A$108,0))&amp;"-"&amp;INDEX(Fixture!$J$5:$J$108,MATCH(D164,Fixture!$A$5:$A$108,0)),"")</f>
        <v>-</v>
      </c>
      <c r="L164" s="9" t="str">
        <f aca="false">IF(M164&lt;&gt;"FINALIZADO","",IF(OR(ISBLANK(I164),ISBLANK(J164)),0,IF(AND(I164=IFERROR(INDEX(Fixture!$I$5:$I$108,MATCH(D164,Fixture!$A$5:$A$108,0)),"-999"),J164=IFERROR(INDEX(Fixture!$J$5:$J$108,MATCH(D164,Fixture!$A$5:$A$108,0)),"-999")),IFERROR(INDEX(Fases!$C$5:$C$10,MATCH(IFERROR(INDEX(Fixture!$B$5:$B$108,MATCH(D164,Fixture!$A$5:$A$108,0)),0),Fases!$A$5:$A$10,0)),0),IF(OR(AND(I164&gt;J164,IFERROR(INDEX(Fixture!$I$5:$I$108,MATCH(D164,Fixture!$A$5:$A$108,0)),0)&gt;IFERROR(INDEX(Fixture!$J$5:$J$108,MATCH(D164,Fixture!$A$5:$A$108,0)),0)),AND(I164&lt;J164,IFERROR(INDEX(Fixture!$I$5:$I$108,MATCH(D164,Fixture!$A$5:$A$108,0)),0)&lt;IFERROR(INDEX(Fixture!$J$5:$J$108,MATCH(D164,Fixture!$A$5:$A$108,0)),0)),AND(I164=J164,IFERROR(INDEX(Fixture!$I$5:$I$108,MATCH(D164,Fixture!$A$5:$A$108,0)),0)=IFERROR(INDEX(Fixture!$J$5:$J$108,MATCH(D164,Fixture!$A$5:$A$108,0)),0))),IFERROR(INDEX(Fases!$D$5:$D$10,MATCH(IFERROR(INDEX(Fixture!$B$5:$B$108,MATCH(D164,Fixture!$A$5:$A$108,0)),0),Fases!$A$5:$A$10,0)),0),0))))</f>
        <v/>
      </c>
      <c r="M164" s="10" t="str">
        <f aca="false">IFERROR(INDEX(Fixture!$K$5:$K$108,MATCH(D164,Fixture!$A$5:$A$108,0)),"")</f>
        <v>PENDIENTE</v>
      </c>
    </row>
    <row r="165" customFormat="false" ht="15" hidden="false" customHeight="false" outlineLevel="0" collapsed="false">
      <c r="A165" s="11" t="n">
        <v>161</v>
      </c>
      <c r="B165" s="11" t="n">
        <v>2</v>
      </c>
      <c r="C165" s="12" t="str">
        <f aca="false">IFERROR(INDEX(Usuarios!$C$5:$C$200,MATCH(B165,Usuarios!$A$5:$A$200,0)),"")</f>
        <v>mari23</v>
      </c>
      <c r="D165" s="11" t="n">
        <v>58</v>
      </c>
      <c r="E165" s="12" t="str">
        <f aca="false">IFERROR(INDEX(Fases!$B$5:$B$10,MATCH(INDEX(Fixture!$B$5:$B$108,MATCH(D165,Fixture!$A$5:$A$108,0)),Fases!$A$5:$A$10,0)),"")</f>
        <v>Grupos</v>
      </c>
      <c r="F165" s="12" t="str">
        <f aca="false">IFERROR(INDEX(Fixture!$E$5:$E$108,MATCH(D165,Fixture!$A$5:$A$108,0)),"")</f>
        <v>Costa de Marfil</v>
      </c>
      <c r="G165" s="12" t="str">
        <f aca="false">IFERROR(INDEX(Fixture!$F$5:$F$108,MATCH(D165,Fixture!$A$5:$A$108,0)),"")</f>
        <v>Sudáfrica</v>
      </c>
      <c r="H165" s="20" t="n">
        <f aca="false">IFERROR(INDEX(Fixture!$G$5:$G$108,MATCH(D165,Fixture!$A$5:$A$108,0)),"")</f>
        <v>46203</v>
      </c>
      <c r="I165" s="21"/>
      <c r="J165" s="21"/>
      <c r="K165" s="12" t="str">
        <f aca="false">IFERROR(INDEX(Fixture!$I$5:$I$108,MATCH(D165,Fixture!$A$5:$A$108,0))&amp;"-"&amp;INDEX(Fixture!$J$5:$J$108,MATCH(D165,Fixture!$A$5:$A$108,0)),"")</f>
        <v>-</v>
      </c>
      <c r="L165" s="11" t="str">
        <f aca="false">IF(M165&lt;&gt;"FINALIZADO","",IF(OR(ISBLANK(I165),ISBLANK(J165)),0,IF(AND(I165=IFERROR(INDEX(Fixture!$I$5:$I$108,MATCH(D165,Fixture!$A$5:$A$108,0)),"-999"),J165=IFERROR(INDEX(Fixture!$J$5:$J$108,MATCH(D165,Fixture!$A$5:$A$108,0)),"-999")),IFERROR(INDEX(Fases!$C$5:$C$10,MATCH(IFERROR(INDEX(Fixture!$B$5:$B$108,MATCH(D165,Fixture!$A$5:$A$108,0)),0),Fases!$A$5:$A$10,0)),0),IF(OR(AND(I165&gt;J165,IFERROR(INDEX(Fixture!$I$5:$I$108,MATCH(D165,Fixture!$A$5:$A$108,0)),0)&gt;IFERROR(INDEX(Fixture!$J$5:$J$108,MATCH(D165,Fixture!$A$5:$A$108,0)),0)),AND(I165&lt;J165,IFERROR(INDEX(Fixture!$I$5:$I$108,MATCH(D165,Fixture!$A$5:$A$108,0)),0)&lt;IFERROR(INDEX(Fixture!$J$5:$J$108,MATCH(D165,Fixture!$A$5:$A$108,0)),0)),AND(I165=J165,IFERROR(INDEX(Fixture!$I$5:$I$108,MATCH(D165,Fixture!$A$5:$A$108,0)),0)=IFERROR(INDEX(Fixture!$J$5:$J$108,MATCH(D165,Fixture!$A$5:$A$108,0)),0))),IFERROR(INDEX(Fases!$D$5:$D$10,MATCH(IFERROR(INDEX(Fixture!$B$5:$B$108,MATCH(D165,Fixture!$A$5:$A$108,0)),0),Fases!$A$5:$A$10,0)),0),0))))</f>
        <v/>
      </c>
      <c r="M165" s="12" t="str">
        <f aca="false">IFERROR(INDEX(Fixture!$K$5:$K$108,MATCH(D165,Fixture!$A$5:$A$108,0)),"")</f>
        <v>PENDIENTE</v>
      </c>
    </row>
    <row r="166" customFormat="false" ht="15" hidden="false" customHeight="false" outlineLevel="0" collapsed="false">
      <c r="A166" s="9" t="n">
        <v>162</v>
      </c>
      <c r="B166" s="9" t="n">
        <v>2</v>
      </c>
      <c r="C166" s="10" t="str">
        <f aca="false">IFERROR(INDEX(Usuarios!$C$5:$C$200,MATCH(B166,Usuarios!$A$5:$A$200,0)),"")</f>
        <v>mari23</v>
      </c>
      <c r="D166" s="9" t="n">
        <v>59</v>
      </c>
      <c r="E166" s="10" t="str">
        <f aca="false">IFERROR(INDEX(Fases!$B$5:$B$10,MATCH(INDEX(Fixture!$B$5:$B$108,MATCH(D166,Fixture!$A$5:$A$108,0)),Fases!$A$5:$A$10,0)),"")</f>
        <v>Grupos</v>
      </c>
      <c r="F166" s="10" t="str">
        <f aca="false">IFERROR(INDEX(Fixture!$E$5:$E$108,MATCH(D166,Fixture!$A$5:$A$108,0)),"")</f>
        <v>Costa de Marfil</v>
      </c>
      <c r="G166" s="10" t="str">
        <f aca="false">IFERROR(INDEX(Fixture!$F$5:$F$108,MATCH(D166,Fixture!$A$5:$A$108,0)),"")</f>
        <v>Ghana</v>
      </c>
      <c r="H166" s="22" t="n">
        <f aca="false">IFERROR(INDEX(Fixture!$G$5:$G$108,MATCH(D166,Fixture!$A$5:$A$108,0)),"")</f>
        <v>46203.625</v>
      </c>
      <c r="I166" s="23"/>
      <c r="J166" s="23"/>
      <c r="K166" s="10" t="str">
        <f aca="false">IFERROR(INDEX(Fixture!$I$5:$I$108,MATCH(D166,Fixture!$A$5:$A$108,0))&amp;"-"&amp;INDEX(Fixture!$J$5:$J$108,MATCH(D166,Fixture!$A$5:$A$108,0)),"")</f>
        <v>-</v>
      </c>
      <c r="L166" s="9" t="str">
        <f aca="false">IF(M166&lt;&gt;"FINALIZADO","",IF(OR(ISBLANK(I166),ISBLANK(J166)),0,IF(AND(I166=IFERROR(INDEX(Fixture!$I$5:$I$108,MATCH(D166,Fixture!$A$5:$A$108,0)),"-999"),J166=IFERROR(INDEX(Fixture!$J$5:$J$108,MATCH(D166,Fixture!$A$5:$A$108,0)),"-999")),IFERROR(INDEX(Fases!$C$5:$C$10,MATCH(IFERROR(INDEX(Fixture!$B$5:$B$108,MATCH(D166,Fixture!$A$5:$A$108,0)),0),Fases!$A$5:$A$10,0)),0),IF(OR(AND(I166&gt;J166,IFERROR(INDEX(Fixture!$I$5:$I$108,MATCH(D166,Fixture!$A$5:$A$108,0)),0)&gt;IFERROR(INDEX(Fixture!$J$5:$J$108,MATCH(D166,Fixture!$A$5:$A$108,0)),0)),AND(I166&lt;J166,IFERROR(INDEX(Fixture!$I$5:$I$108,MATCH(D166,Fixture!$A$5:$A$108,0)),0)&lt;IFERROR(INDEX(Fixture!$J$5:$J$108,MATCH(D166,Fixture!$A$5:$A$108,0)),0)),AND(I166=J166,IFERROR(INDEX(Fixture!$I$5:$I$108,MATCH(D166,Fixture!$A$5:$A$108,0)),0)=IFERROR(INDEX(Fixture!$J$5:$J$108,MATCH(D166,Fixture!$A$5:$A$108,0)),0))),IFERROR(INDEX(Fases!$D$5:$D$10,MATCH(IFERROR(INDEX(Fixture!$B$5:$B$108,MATCH(D166,Fixture!$A$5:$A$108,0)),0),Fases!$A$5:$A$10,0)),0),0))))</f>
        <v/>
      </c>
      <c r="M166" s="10" t="str">
        <f aca="false">IFERROR(INDEX(Fixture!$K$5:$K$108,MATCH(D166,Fixture!$A$5:$A$108,0)),"")</f>
        <v>PENDIENTE</v>
      </c>
    </row>
    <row r="167" customFormat="false" ht="15" hidden="false" customHeight="false" outlineLevel="0" collapsed="false">
      <c r="A167" s="11" t="n">
        <v>163</v>
      </c>
      <c r="B167" s="11" t="n">
        <v>2</v>
      </c>
      <c r="C167" s="12" t="str">
        <f aca="false">IFERROR(INDEX(Usuarios!$C$5:$C$200,MATCH(B167,Usuarios!$A$5:$A$200,0)),"")</f>
        <v>mari23</v>
      </c>
      <c r="D167" s="11" t="n">
        <v>60</v>
      </c>
      <c r="E167" s="12" t="str">
        <f aca="false">IFERROR(INDEX(Fases!$B$5:$B$10,MATCH(INDEX(Fixture!$B$5:$B$108,MATCH(D167,Fixture!$A$5:$A$108,0)),Fases!$A$5:$A$10,0)),"")</f>
        <v>Grupos</v>
      </c>
      <c r="F167" s="12" t="str">
        <f aca="false">IFERROR(INDEX(Fixture!$E$5:$E$108,MATCH(D167,Fixture!$A$5:$A$108,0)),"")</f>
        <v>Sudáfrica</v>
      </c>
      <c r="G167" s="12" t="str">
        <f aca="false">IFERROR(INDEX(Fixture!$F$5:$F$108,MATCH(D167,Fixture!$A$5:$A$108,0)),"")</f>
        <v>Ghana</v>
      </c>
      <c r="H167" s="20" t="n">
        <f aca="false">IFERROR(INDEX(Fixture!$G$5:$G$108,MATCH(D167,Fixture!$A$5:$A$108,0)),"")</f>
        <v>46203.75</v>
      </c>
      <c r="I167" s="21"/>
      <c r="J167" s="21"/>
      <c r="K167" s="12" t="str">
        <f aca="false">IFERROR(INDEX(Fixture!$I$5:$I$108,MATCH(D167,Fixture!$A$5:$A$108,0))&amp;"-"&amp;INDEX(Fixture!$J$5:$J$108,MATCH(D167,Fixture!$A$5:$A$108,0)),"")</f>
        <v>-</v>
      </c>
      <c r="L167" s="11" t="str">
        <f aca="false">IF(M167&lt;&gt;"FINALIZADO","",IF(OR(ISBLANK(I167),ISBLANK(J167)),0,IF(AND(I167=IFERROR(INDEX(Fixture!$I$5:$I$108,MATCH(D167,Fixture!$A$5:$A$108,0)),"-999"),J167=IFERROR(INDEX(Fixture!$J$5:$J$108,MATCH(D167,Fixture!$A$5:$A$108,0)),"-999")),IFERROR(INDEX(Fases!$C$5:$C$10,MATCH(IFERROR(INDEX(Fixture!$B$5:$B$108,MATCH(D167,Fixture!$A$5:$A$108,0)),0),Fases!$A$5:$A$10,0)),0),IF(OR(AND(I167&gt;J167,IFERROR(INDEX(Fixture!$I$5:$I$108,MATCH(D167,Fixture!$A$5:$A$108,0)),0)&gt;IFERROR(INDEX(Fixture!$J$5:$J$108,MATCH(D167,Fixture!$A$5:$A$108,0)),0)),AND(I167&lt;J167,IFERROR(INDEX(Fixture!$I$5:$I$108,MATCH(D167,Fixture!$A$5:$A$108,0)),0)&lt;IFERROR(INDEX(Fixture!$J$5:$J$108,MATCH(D167,Fixture!$A$5:$A$108,0)),0)),AND(I167=J167,IFERROR(INDEX(Fixture!$I$5:$I$108,MATCH(D167,Fixture!$A$5:$A$108,0)),0)=IFERROR(INDEX(Fixture!$J$5:$J$108,MATCH(D167,Fixture!$A$5:$A$108,0)),0))),IFERROR(INDEX(Fases!$D$5:$D$10,MATCH(IFERROR(INDEX(Fixture!$B$5:$B$108,MATCH(D167,Fixture!$A$5:$A$108,0)),0),Fases!$A$5:$A$10,0)),0),0))))</f>
        <v/>
      </c>
      <c r="M167" s="12" t="str">
        <f aca="false">IFERROR(INDEX(Fixture!$K$5:$K$108,MATCH(D167,Fixture!$A$5:$A$108,0)),"")</f>
        <v>PENDIENTE</v>
      </c>
    </row>
    <row r="168" customFormat="false" ht="15" hidden="false" customHeight="false" outlineLevel="0" collapsed="false">
      <c r="A168" s="9" t="n">
        <v>164</v>
      </c>
      <c r="B168" s="9" t="n">
        <v>2</v>
      </c>
      <c r="C168" s="10" t="str">
        <f aca="false">IFERROR(INDEX(Usuarios!$C$5:$C$200,MATCH(B168,Usuarios!$A$5:$A$200,0)),"")</f>
        <v>mari23</v>
      </c>
      <c r="D168" s="9" t="n">
        <v>61</v>
      </c>
      <c r="E168" s="10" t="str">
        <f aca="false">IFERROR(INDEX(Fases!$B$5:$B$10,MATCH(INDEX(Fixture!$B$5:$B$108,MATCH(D168,Fixture!$A$5:$A$108,0)),Fases!$A$5:$A$10,0)),"")</f>
        <v>Grupos</v>
      </c>
      <c r="F168" s="10" t="str">
        <f aca="false">IFERROR(INDEX(Fixture!$E$5:$E$108,MATCH(D168,Fixture!$A$5:$A$108,0)),"")</f>
        <v>Japón</v>
      </c>
      <c r="G168" s="10" t="str">
        <f aca="false">IFERROR(INDEX(Fixture!$F$5:$F$108,MATCH(D168,Fixture!$A$5:$A$108,0)),"")</f>
        <v>Corea del Sur</v>
      </c>
      <c r="H168" s="22" t="n">
        <f aca="false">IFERROR(INDEX(Fixture!$G$5:$G$108,MATCH(D168,Fixture!$A$5:$A$108,0)),"")</f>
        <v>46204.625</v>
      </c>
      <c r="I168" s="23"/>
      <c r="J168" s="23"/>
      <c r="K168" s="10" t="str">
        <f aca="false">IFERROR(INDEX(Fixture!$I$5:$I$108,MATCH(D168,Fixture!$A$5:$A$108,0))&amp;"-"&amp;INDEX(Fixture!$J$5:$J$108,MATCH(D168,Fixture!$A$5:$A$108,0)),"")</f>
        <v>-</v>
      </c>
      <c r="L168" s="9" t="str">
        <f aca="false">IF(M168&lt;&gt;"FINALIZADO","",IF(OR(ISBLANK(I168),ISBLANK(J168)),0,IF(AND(I168=IFERROR(INDEX(Fixture!$I$5:$I$108,MATCH(D168,Fixture!$A$5:$A$108,0)),"-999"),J168=IFERROR(INDEX(Fixture!$J$5:$J$108,MATCH(D168,Fixture!$A$5:$A$108,0)),"-999")),IFERROR(INDEX(Fases!$C$5:$C$10,MATCH(IFERROR(INDEX(Fixture!$B$5:$B$108,MATCH(D168,Fixture!$A$5:$A$108,0)),0),Fases!$A$5:$A$10,0)),0),IF(OR(AND(I168&gt;J168,IFERROR(INDEX(Fixture!$I$5:$I$108,MATCH(D168,Fixture!$A$5:$A$108,0)),0)&gt;IFERROR(INDEX(Fixture!$J$5:$J$108,MATCH(D168,Fixture!$A$5:$A$108,0)),0)),AND(I168&lt;J168,IFERROR(INDEX(Fixture!$I$5:$I$108,MATCH(D168,Fixture!$A$5:$A$108,0)),0)&lt;IFERROR(INDEX(Fixture!$J$5:$J$108,MATCH(D168,Fixture!$A$5:$A$108,0)),0)),AND(I168=J168,IFERROR(INDEX(Fixture!$I$5:$I$108,MATCH(D168,Fixture!$A$5:$A$108,0)),0)=IFERROR(INDEX(Fixture!$J$5:$J$108,MATCH(D168,Fixture!$A$5:$A$108,0)),0))),IFERROR(INDEX(Fases!$D$5:$D$10,MATCH(IFERROR(INDEX(Fixture!$B$5:$B$108,MATCH(D168,Fixture!$A$5:$A$108,0)),0),Fases!$A$5:$A$10,0)),0),0))))</f>
        <v/>
      </c>
      <c r="M168" s="10" t="str">
        <f aca="false">IFERROR(INDEX(Fixture!$K$5:$K$108,MATCH(D168,Fixture!$A$5:$A$108,0)),"")</f>
        <v>PENDIENTE</v>
      </c>
    </row>
    <row r="169" customFormat="false" ht="15" hidden="false" customHeight="false" outlineLevel="0" collapsed="false">
      <c r="A169" s="11" t="n">
        <v>165</v>
      </c>
      <c r="B169" s="11" t="n">
        <v>2</v>
      </c>
      <c r="C169" s="12" t="str">
        <f aca="false">IFERROR(INDEX(Usuarios!$C$5:$C$200,MATCH(B169,Usuarios!$A$5:$A$200,0)),"")</f>
        <v>mari23</v>
      </c>
      <c r="D169" s="11" t="n">
        <v>62</v>
      </c>
      <c r="E169" s="12" t="str">
        <f aca="false">IFERROR(INDEX(Fases!$B$5:$B$10,MATCH(INDEX(Fixture!$B$5:$B$108,MATCH(D169,Fixture!$A$5:$A$108,0)),Fases!$A$5:$A$10,0)),"")</f>
        <v>Grupos</v>
      </c>
      <c r="F169" s="12" t="str">
        <f aca="false">IFERROR(INDEX(Fixture!$E$5:$E$108,MATCH(D169,Fixture!$A$5:$A$108,0)),"")</f>
        <v>Japón</v>
      </c>
      <c r="G169" s="12" t="str">
        <f aca="false">IFERROR(INDEX(Fixture!$F$5:$F$108,MATCH(D169,Fixture!$A$5:$A$108,0)),"")</f>
        <v>Arabia Saudita</v>
      </c>
      <c r="H169" s="20" t="n">
        <f aca="false">IFERROR(INDEX(Fixture!$G$5:$G$108,MATCH(D169,Fixture!$A$5:$A$108,0)),"")</f>
        <v>46204.75</v>
      </c>
      <c r="I169" s="21"/>
      <c r="J169" s="21"/>
      <c r="K169" s="12" t="str">
        <f aca="false">IFERROR(INDEX(Fixture!$I$5:$I$108,MATCH(D169,Fixture!$A$5:$A$108,0))&amp;"-"&amp;INDEX(Fixture!$J$5:$J$108,MATCH(D169,Fixture!$A$5:$A$108,0)),"")</f>
        <v>-</v>
      </c>
      <c r="L169" s="11" t="str">
        <f aca="false">IF(M169&lt;&gt;"FINALIZADO","",IF(OR(ISBLANK(I169),ISBLANK(J169)),0,IF(AND(I169=IFERROR(INDEX(Fixture!$I$5:$I$108,MATCH(D169,Fixture!$A$5:$A$108,0)),"-999"),J169=IFERROR(INDEX(Fixture!$J$5:$J$108,MATCH(D169,Fixture!$A$5:$A$108,0)),"-999")),IFERROR(INDEX(Fases!$C$5:$C$10,MATCH(IFERROR(INDEX(Fixture!$B$5:$B$108,MATCH(D169,Fixture!$A$5:$A$108,0)),0),Fases!$A$5:$A$10,0)),0),IF(OR(AND(I169&gt;J169,IFERROR(INDEX(Fixture!$I$5:$I$108,MATCH(D169,Fixture!$A$5:$A$108,0)),0)&gt;IFERROR(INDEX(Fixture!$J$5:$J$108,MATCH(D169,Fixture!$A$5:$A$108,0)),0)),AND(I169&lt;J169,IFERROR(INDEX(Fixture!$I$5:$I$108,MATCH(D169,Fixture!$A$5:$A$108,0)),0)&lt;IFERROR(INDEX(Fixture!$J$5:$J$108,MATCH(D169,Fixture!$A$5:$A$108,0)),0)),AND(I169=J169,IFERROR(INDEX(Fixture!$I$5:$I$108,MATCH(D169,Fixture!$A$5:$A$108,0)),0)=IFERROR(INDEX(Fixture!$J$5:$J$108,MATCH(D169,Fixture!$A$5:$A$108,0)),0))),IFERROR(INDEX(Fases!$D$5:$D$10,MATCH(IFERROR(INDEX(Fixture!$B$5:$B$108,MATCH(D169,Fixture!$A$5:$A$108,0)),0),Fases!$A$5:$A$10,0)),0),0))))</f>
        <v/>
      </c>
      <c r="M169" s="12" t="str">
        <f aca="false">IFERROR(INDEX(Fixture!$K$5:$K$108,MATCH(D169,Fixture!$A$5:$A$108,0)),"")</f>
        <v>PENDIENTE</v>
      </c>
    </row>
    <row r="170" customFormat="false" ht="15" hidden="false" customHeight="false" outlineLevel="0" collapsed="false">
      <c r="A170" s="9" t="n">
        <v>166</v>
      </c>
      <c r="B170" s="9" t="n">
        <v>2</v>
      </c>
      <c r="C170" s="10" t="str">
        <f aca="false">IFERROR(INDEX(Usuarios!$C$5:$C$200,MATCH(B170,Usuarios!$A$5:$A$200,0)),"")</f>
        <v>mari23</v>
      </c>
      <c r="D170" s="9" t="n">
        <v>63</v>
      </c>
      <c r="E170" s="10" t="str">
        <f aca="false">IFERROR(INDEX(Fases!$B$5:$B$10,MATCH(INDEX(Fixture!$B$5:$B$108,MATCH(D170,Fixture!$A$5:$A$108,0)),Fases!$A$5:$A$10,0)),"")</f>
        <v>Grupos</v>
      </c>
      <c r="F170" s="10" t="str">
        <f aca="false">IFERROR(INDEX(Fixture!$E$5:$E$108,MATCH(D170,Fixture!$A$5:$A$108,0)),"")</f>
        <v>Japón</v>
      </c>
      <c r="G170" s="10" t="str">
        <f aca="false">IFERROR(INDEX(Fixture!$F$5:$F$108,MATCH(D170,Fixture!$A$5:$A$108,0)),"")</f>
        <v>Australia</v>
      </c>
      <c r="H170" s="22" t="n">
        <f aca="false">IFERROR(INDEX(Fixture!$G$5:$G$108,MATCH(D170,Fixture!$A$5:$A$108,0)),"")</f>
        <v>46204.875</v>
      </c>
      <c r="I170" s="23"/>
      <c r="J170" s="23"/>
      <c r="K170" s="10" t="str">
        <f aca="false">IFERROR(INDEX(Fixture!$I$5:$I$108,MATCH(D170,Fixture!$A$5:$A$108,0))&amp;"-"&amp;INDEX(Fixture!$J$5:$J$108,MATCH(D170,Fixture!$A$5:$A$108,0)),"")</f>
        <v>-</v>
      </c>
      <c r="L170" s="9" t="str">
        <f aca="false">IF(M170&lt;&gt;"FINALIZADO","",IF(OR(ISBLANK(I170),ISBLANK(J170)),0,IF(AND(I170=IFERROR(INDEX(Fixture!$I$5:$I$108,MATCH(D170,Fixture!$A$5:$A$108,0)),"-999"),J170=IFERROR(INDEX(Fixture!$J$5:$J$108,MATCH(D170,Fixture!$A$5:$A$108,0)),"-999")),IFERROR(INDEX(Fases!$C$5:$C$10,MATCH(IFERROR(INDEX(Fixture!$B$5:$B$108,MATCH(D170,Fixture!$A$5:$A$108,0)),0),Fases!$A$5:$A$10,0)),0),IF(OR(AND(I170&gt;J170,IFERROR(INDEX(Fixture!$I$5:$I$108,MATCH(D170,Fixture!$A$5:$A$108,0)),0)&gt;IFERROR(INDEX(Fixture!$J$5:$J$108,MATCH(D170,Fixture!$A$5:$A$108,0)),0)),AND(I170&lt;J170,IFERROR(INDEX(Fixture!$I$5:$I$108,MATCH(D170,Fixture!$A$5:$A$108,0)),0)&lt;IFERROR(INDEX(Fixture!$J$5:$J$108,MATCH(D170,Fixture!$A$5:$A$108,0)),0)),AND(I170=J170,IFERROR(INDEX(Fixture!$I$5:$I$108,MATCH(D170,Fixture!$A$5:$A$108,0)),0)=IFERROR(INDEX(Fixture!$J$5:$J$108,MATCH(D170,Fixture!$A$5:$A$108,0)),0))),IFERROR(INDEX(Fases!$D$5:$D$10,MATCH(IFERROR(INDEX(Fixture!$B$5:$B$108,MATCH(D170,Fixture!$A$5:$A$108,0)),0),Fases!$A$5:$A$10,0)),0),0))))</f>
        <v/>
      </c>
      <c r="M170" s="10" t="str">
        <f aca="false">IFERROR(INDEX(Fixture!$K$5:$K$108,MATCH(D170,Fixture!$A$5:$A$108,0)),"")</f>
        <v>PENDIENTE</v>
      </c>
    </row>
    <row r="171" customFormat="false" ht="15" hidden="false" customHeight="false" outlineLevel="0" collapsed="false">
      <c r="A171" s="11" t="n">
        <v>167</v>
      </c>
      <c r="B171" s="11" t="n">
        <v>2</v>
      </c>
      <c r="C171" s="12" t="str">
        <f aca="false">IFERROR(INDEX(Usuarios!$C$5:$C$200,MATCH(B171,Usuarios!$A$5:$A$200,0)),"")</f>
        <v>mari23</v>
      </c>
      <c r="D171" s="11" t="n">
        <v>64</v>
      </c>
      <c r="E171" s="12" t="str">
        <f aca="false">IFERROR(INDEX(Fases!$B$5:$B$10,MATCH(INDEX(Fixture!$B$5:$B$108,MATCH(D171,Fixture!$A$5:$A$108,0)),Fases!$A$5:$A$10,0)),"")</f>
        <v>Grupos</v>
      </c>
      <c r="F171" s="12" t="str">
        <f aca="false">IFERROR(INDEX(Fixture!$E$5:$E$108,MATCH(D171,Fixture!$A$5:$A$108,0)),"")</f>
        <v>Corea del Sur</v>
      </c>
      <c r="G171" s="12" t="str">
        <f aca="false">IFERROR(INDEX(Fixture!$F$5:$F$108,MATCH(D171,Fixture!$A$5:$A$108,0)),"")</f>
        <v>Arabia Saudita</v>
      </c>
      <c r="H171" s="20" t="n">
        <f aca="false">IFERROR(INDEX(Fixture!$G$5:$G$108,MATCH(D171,Fixture!$A$5:$A$108,0)),"")</f>
        <v>46205</v>
      </c>
      <c r="I171" s="21"/>
      <c r="J171" s="21"/>
      <c r="K171" s="12" t="str">
        <f aca="false">IFERROR(INDEX(Fixture!$I$5:$I$108,MATCH(D171,Fixture!$A$5:$A$108,0))&amp;"-"&amp;INDEX(Fixture!$J$5:$J$108,MATCH(D171,Fixture!$A$5:$A$108,0)),"")</f>
        <v>-</v>
      </c>
      <c r="L171" s="11" t="str">
        <f aca="false">IF(M171&lt;&gt;"FINALIZADO","",IF(OR(ISBLANK(I171),ISBLANK(J171)),0,IF(AND(I171=IFERROR(INDEX(Fixture!$I$5:$I$108,MATCH(D171,Fixture!$A$5:$A$108,0)),"-999"),J171=IFERROR(INDEX(Fixture!$J$5:$J$108,MATCH(D171,Fixture!$A$5:$A$108,0)),"-999")),IFERROR(INDEX(Fases!$C$5:$C$10,MATCH(IFERROR(INDEX(Fixture!$B$5:$B$108,MATCH(D171,Fixture!$A$5:$A$108,0)),0),Fases!$A$5:$A$10,0)),0),IF(OR(AND(I171&gt;J171,IFERROR(INDEX(Fixture!$I$5:$I$108,MATCH(D171,Fixture!$A$5:$A$108,0)),0)&gt;IFERROR(INDEX(Fixture!$J$5:$J$108,MATCH(D171,Fixture!$A$5:$A$108,0)),0)),AND(I171&lt;J171,IFERROR(INDEX(Fixture!$I$5:$I$108,MATCH(D171,Fixture!$A$5:$A$108,0)),0)&lt;IFERROR(INDEX(Fixture!$J$5:$J$108,MATCH(D171,Fixture!$A$5:$A$108,0)),0)),AND(I171=J171,IFERROR(INDEX(Fixture!$I$5:$I$108,MATCH(D171,Fixture!$A$5:$A$108,0)),0)=IFERROR(INDEX(Fixture!$J$5:$J$108,MATCH(D171,Fixture!$A$5:$A$108,0)),0))),IFERROR(INDEX(Fases!$D$5:$D$10,MATCH(IFERROR(INDEX(Fixture!$B$5:$B$108,MATCH(D171,Fixture!$A$5:$A$108,0)),0),Fases!$A$5:$A$10,0)),0),0))))</f>
        <v/>
      </c>
      <c r="M171" s="12" t="str">
        <f aca="false">IFERROR(INDEX(Fixture!$K$5:$K$108,MATCH(D171,Fixture!$A$5:$A$108,0)),"")</f>
        <v>PENDIENTE</v>
      </c>
    </row>
    <row r="172" customFormat="false" ht="15" hidden="false" customHeight="false" outlineLevel="0" collapsed="false">
      <c r="A172" s="9" t="n">
        <v>168</v>
      </c>
      <c r="B172" s="9" t="n">
        <v>2</v>
      </c>
      <c r="C172" s="10" t="str">
        <f aca="false">IFERROR(INDEX(Usuarios!$C$5:$C$200,MATCH(B172,Usuarios!$A$5:$A$200,0)),"")</f>
        <v>mari23</v>
      </c>
      <c r="D172" s="9" t="n">
        <v>65</v>
      </c>
      <c r="E172" s="10" t="str">
        <f aca="false">IFERROR(INDEX(Fases!$B$5:$B$10,MATCH(INDEX(Fixture!$B$5:$B$108,MATCH(D172,Fixture!$A$5:$A$108,0)),Fases!$A$5:$A$10,0)),"")</f>
        <v>Grupos</v>
      </c>
      <c r="F172" s="10" t="str">
        <f aca="false">IFERROR(INDEX(Fixture!$E$5:$E$108,MATCH(D172,Fixture!$A$5:$A$108,0)),"")</f>
        <v>Corea del Sur</v>
      </c>
      <c r="G172" s="10" t="str">
        <f aca="false">IFERROR(INDEX(Fixture!$F$5:$F$108,MATCH(D172,Fixture!$A$5:$A$108,0)),"")</f>
        <v>Australia</v>
      </c>
      <c r="H172" s="22" t="n">
        <f aca="false">IFERROR(INDEX(Fixture!$G$5:$G$108,MATCH(D172,Fixture!$A$5:$A$108,0)),"")</f>
        <v>46205.625</v>
      </c>
      <c r="I172" s="23"/>
      <c r="J172" s="23"/>
      <c r="K172" s="10" t="str">
        <f aca="false">IFERROR(INDEX(Fixture!$I$5:$I$108,MATCH(D172,Fixture!$A$5:$A$108,0))&amp;"-"&amp;INDEX(Fixture!$J$5:$J$108,MATCH(D172,Fixture!$A$5:$A$108,0)),"")</f>
        <v>-</v>
      </c>
      <c r="L172" s="9" t="str">
        <f aca="false">IF(M172&lt;&gt;"FINALIZADO","",IF(OR(ISBLANK(I172),ISBLANK(J172)),0,IF(AND(I172=IFERROR(INDEX(Fixture!$I$5:$I$108,MATCH(D172,Fixture!$A$5:$A$108,0)),"-999"),J172=IFERROR(INDEX(Fixture!$J$5:$J$108,MATCH(D172,Fixture!$A$5:$A$108,0)),"-999")),IFERROR(INDEX(Fases!$C$5:$C$10,MATCH(IFERROR(INDEX(Fixture!$B$5:$B$108,MATCH(D172,Fixture!$A$5:$A$108,0)),0),Fases!$A$5:$A$10,0)),0),IF(OR(AND(I172&gt;J172,IFERROR(INDEX(Fixture!$I$5:$I$108,MATCH(D172,Fixture!$A$5:$A$108,0)),0)&gt;IFERROR(INDEX(Fixture!$J$5:$J$108,MATCH(D172,Fixture!$A$5:$A$108,0)),0)),AND(I172&lt;J172,IFERROR(INDEX(Fixture!$I$5:$I$108,MATCH(D172,Fixture!$A$5:$A$108,0)),0)&lt;IFERROR(INDEX(Fixture!$J$5:$J$108,MATCH(D172,Fixture!$A$5:$A$108,0)),0)),AND(I172=J172,IFERROR(INDEX(Fixture!$I$5:$I$108,MATCH(D172,Fixture!$A$5:$A$108,0)),0)=IFERROR(INDEX(Fixture!$J$5:$J$108,MATCH(D172,Fixture!$A$5:$A$108,0)),0))),IFERROR(INDEX(Fases!$D$5:$D$10,MATCH(IFERROR(INDEX(Fixture!$B$5:$B$108,MATCH(D172,Fixture!$A$5:$A$108,0)),0),Fases!$A$5:$A$10,0)),0),0))))</f>
        <v/>
      </c>
      <c r="M172" s="10" t="str">
        <f aca="false">IFERROR(INDEX(Fixture!$K$5:$K$108,MATCH(D172,Fixture!$A$5:$A$108,0)),"")</f>
        <v>PENDIENTE</v>
      </c>
    </row>
    <row r="173" customFormat="false" ht="15" hidden="false" customHeight="false" outlineLevel="0" collapsed="false">
      <c r="A173" s="11" t="n">
        <v>169</v>
      </c>
      <c r="B173" s="11" t="n">
        <v>2</v>
      </c>
      <c r="C173" s="12" t="str">
        <f aca="false">IFERROR(INDEX(Usuarios!$C$5:$C$200,MATCH(B173,Usuarios!$A$5:$A$200,0)),"")</f>
        <v>mari23</v>
      </c>
      <c r="D173" s="11" t="n">
        <v>66</v>
      </c>
      <c r="E173" s="12" t="str">
        <f aca="false">IFERROR(INDEX(Fases!$B$5:$B$10,MATCH(INDEX(Fixture!$B$5:$B$108,MATCH(D173,Fixture!$A$5:$A$108,0)),Fases!$A$5:$A$10,0)),"")</f>
        <v>Grupos</v>
      </c>
      <c r="F173" s="12" t="str">
        <f aca="false">IFERROR(INDEX(Fixture!$E$5:$E$108,MATCH(D173,Fixture!$A$5:$A$108,0)),"")</f>
        <v>Arabia Saudita</v>
      </c>
      <c r="G173" s="12" t="str">
        <f aca="false">IFERROR(INDEX(Fixture!$F$5:$F$108,MATCH(D173,Fixture!$A$5:$A$108,0)),"")</f>
        <v>Australia</v>
      </c>
      <c r="H173" s="20" t="n">
        <f aca="false">IFERROR(INDEX(Fixture!$G$5:$G$108,MATCH(D173,Fixture!$A$5:$A$108,0)),"")</f>
        <v>46205.75</v>
      </c>
      <c r="I173" s="21"/>
      <c r="J173" s="21"/>
      <c r="K173" s="12" t="str">
        <f aca="false">IFERROR(INDEX(Fixture!$I$5:$I$108,MATCH(D173,Fixture!$A$5:$A$108,0))&amp;"-"&amp;INDEX(Fixture!$J$5:$J$108,MATCH(D173,Fixture!$A$5:$A$108,0)),"")</f>
        <v>-</v>
      </c>
      <c r="L173" s="11" t="str">
        <f aca="false">IF(M173&lt;&gt;"FINALIZADO","",IF(OR(ISBLANK(I173),ISBLANK(J173)),0,IF(AND(I173=IFERROR(INDEX(Fixture!$I$5:$I$108,MATCH(D173,Fixture!$A$5:$A$108,0)),"-999"),J173=IFERROR(INDEX(Fixture!$J$5:$J$108,MATCH(D173,Fixture!$A$5:$A$108,0)),"-999")),IFERROR(INDEX(Fases!$C$5:$C$10,MATCH(IFERROR(INDEX(Fixture!$B$5:$B$108,MATCH(D173,Fixture!$A$5:$A$108,0)),0),Fases!$A$5:$A$10,0)),0),IF(OR(AND(I173&gt;J173,IFERROR(INDEX(Fixture!$I$5:$I$108,MATCH(D173,Fixture!$A$5:$A$108,0)),0)&gt;IFERROR(INDEX(Fixture!$J$5:$J$108,MATCH(D173,Fixture!$A$5:$A$108,0)),0)),AND(I173&lt;J173,IFERROR(INDEX(Fixture!$I$5:$I$108,MATCH(D173,Fixture!$A$5:$A$108,0)),0)&lt;IFERROR(INDEX(Fixture!$J$5:$J$108,MATCH(D173,Fixture!$A$5:$A$108,0)),0)),AND(I173=J173,IFERROR(INDEX(Fixture!$I$5:$I$108,MATCH(D173,Fixture!$A$5:$A$108,0)),0)=IFERROR(INDEX(Fixture!$J$5:$J$108,MATCH(D173,Fixture!$A$5:$A$108,0)),0))),IFERROR(INDEX(Fases!$D$5:$D$10,MATCH(IFERROR(INDEX(Fixture!$B$5:$B$108,MATCH(D173,Fixture!$A$5:$A$108,0)),0),Fases!$A$5:$A$10,0)),0),0))))</f>
        <v/>
      </c>
      <c r="M173" s="12" t="str">
        <f aca="false">IFERROR(INDEX(Fixture!$K$5:$K$108,MATCH(D173,Fixture!$A$5:$A$108,0)),"")</f>
        <v>PENDIENTE</v>
      </c>
    </row>
    <row r="174" customFormat="false" ht="15" hidden="false" customHeight="false" outlineLevel="0" collapsed="false">
      <c r="A174" s="9" t="n">
        <v>170</v>
      </c>
      <c r="B174" s="9" t="n">
        <v>2</v>
      </c>
      <c r="C174" s="10" t="str">
        <f aca="false">IFERROR(INDEX(Usuarios!$C$5:$C$200,MATCH(B174,Usuarios!$A$5:$A$200,0)),"")</f>
        <v>mari23</v>
      </c>
      <c r="D174" s="9" t="n">
        <v>67</v>
      </c>
      <c r="E174" s="10" t="str">
        <f aca="false">IFERROR(INDEX(Fases!$B$5:$B$10,MATCH(INDEX(Fixture!$B$5:$B$108,MATCH(D174,Fixture!$A$5:$A$108,0)),Fases!$A$5:$A$10,0)),"")</f>
        <v>Grupos</v>
      </c>
      <c r="F174" s="10" t="str">
        <f aca="false">IFERROR(INDEX(Fixture!$E$5:$E$108,MATCH(D174,Fixture!$A$5:$A$108,0)),"")</f>
        <v>Irán</v>
      </c>
      <c r="G174" s="10" t="str">
        <f aca="false">IFERROR(INDEX(Fixture!$F$5:$F$108,MATCH(D174,Fixture!$A$5:$A$108,0)),"")</f>
        <v>Qatar</v>
      </c>
      <c r="H174" s="22" t="n">
        <f aca="false">IFERROR(INDEX(Fixture!$G$5:$G$108,MATCH(D174,Fixture!$A$5:$A$108,0)),"")</f>
        <v>46206.625</v>
      </c>
      <c r="I174" s="23"/>
      <c r="J174" s="23"/>
      <c r="K174" s="10" t="str">
        <f aca="false">IFERROR(INDEX(Fixture!$I$5:$I$108,MATCH(D174,Fixture!$A$5:$A$108,0))&amp;"-"&amp;INDEX(Fixture!$J$5:$J$108,MATCH(D174,Fixture!$A$5:$A$108,0)),"")</f>
        <v>-</v>
      </c>
      <c r="L174" s="9" t="str">
        <f aca="false">IF(M174&lt;&gt;"FINALIZADO","",IF(OR(ISBLANK(I174),ISBLANK(J174)),0,IF(AND(I174=IFERROR(INDEX(Fixture!$I$5:$I$108,MATCH(D174,Fixture!$A$5:$A$108,0)),"-999"),J174=IFERROR(INDEX(Fixture!$J$5:$J$108,MATCH(D174,Fixture!$A$5:$A$108,0)),"-999")),IFERROR(INDEX(Fases!$C$5:$C$10,MATCH(IFERROR(INDEX(Fixture!$B$5:$B$108,MATCH(D174,Fixture!$A$5:$A$108,0)),0),Fases!$A$5:$A$10,0)),0),IF(OR(AND(I174&gt;J174,IFERROR(INDEX(Fixture!$I$5:$I$108,MATCH(D174,Fixture!$A$5:$A$108,0)),0)&gt;IFERROR(INDEX(Fixture!$J$5:$J$108,MATCH(D174,Fixture!$A$5:$A$108,0)),0)),AND(I174&lt;J174,IFERROR(INDEX(Fixture!$I$5:$I$108,MATCH(D174,Fixture!$A$5:$A$108,0)),0)&lt;IFERROR(INDEX(Fixture!$J$5:$J$108,MATCH(D174,Fixture!$A$5:$A$108,0)),0)),AND(I174=J174,IFERROR(INDEX(Fixture!$I$5:$I$108,MATCH(D174,Fixture!$A$5:$A$108,0)),0)=IFERROR(INDEX(Fixture!$J$5:$J$108,MATCH(D174,Fixture!$A$5:$A$108,0)),0))),IFERROR(INDEX(Fases!$D$5:$D$10,MATCH(IFERROR(INDEX(Fixture!$B$5:$B$108,MATCH(D174,Fixture!$A$5:$A$108,0)),0),Fases!$A$5:$A$10,0)),0),0))))</f>
        <v/>
      </c>
      <c r="M174" s="10" t="str">
        <f aca="false">IFERROR(INDEX(Fixture!$K$5:$K$108,MATCH(D174,Fixture!$A$5:$A$108,0)),"")</f>
        <v>PENDIENTE</v>
      </c>
    </row>
    <row r="175" customFormat="false" ht="15" hidden="false" customHeight="false" outlineLevel="0" collapsed="false">
      <c r="A175" s="11" t="n">
        <v>171</v>
      </c>
      <c r="B175" s="11" t="n">
        <v>2</v>
      </c>
      <c r="C175" s="12" t="str">
        <f aca="false">IFERROR(INDEX(Usuarios!$C$5:$C$200,MATCH(B175,Usuarios!$A$5:$A$200,0)),"")</f>
        <v>mari23</v>
      </c>
      <c r="D175" s="11" t="n">
        <v>68</v>
      </c>
      <c r="E175" s="12" t="str">
        <f aca="false">IFERROR(INDEX(Fases!$B$5:$B$10,MATCH(INDEX(Fixture!$B$5:$B$108,MATCH(D175,Fixture!$A$5:$A$108,0)),Fases!$A$5:$A$10,0)),"")</f>
        <v>Grupos</v>
      </c>
      <c r="F175" s="12" t="str">
        <f aca="false">IFERROR(INDEX(Fixture!$E$5:$E$108,MATCH(D175,Fixture!$A$5:$A$108,0)),"")</f>
        <v>Irán</v>
      </c>
      <c r="G175" s="12" t="str">
        <f aca="false">IFERROR(INDEX(Fixture!$F$5:$F$108,MATCH(D175,Fixture!$A$5:$A$108,0)),"")</f>
        <v>Uzbekistán</v>
      </c>
      <c r="H175" s="20" t="n">
        <f aca="false">IFERROR(INDEX(Fixture!$G$5:$G$108,MATCH(D175,Fixture!$A$5:$A$108,0)),"")</f>
        <v>46206.75</v>
      </c>
      <c r="I175" s="21"/>
      <c r="J175" s="21"/>
      <c r="K175" s="12" t="str">
        <f aca="false">IFERROR(INDEX(Fixture!$I$5:$I$108,MATCH(D175,Fixture!$A$5:$A$108,0))&amp;"-"&amp;INDEX(Fixture!$J$5:$J$108,MATCH(D175,Fixture!$A$5:$A$108,0)),"")</f>
        <v>-</v>
      </c>
      <c r="L175" s="11" t="str">
        <f aca="false">IF(M175&lt;&gt;"FINALIZADO","",IF(OR(ISBLANK(I175),ISBLANK(J175)),0,IF(AND(I175=IFERROR(INDEX(Fixture!$I$5:$I$108,MATCH(D175,Fixture!$A$5:$A$108,0)),"-999"),J175=IFERROR(INDEX(Fixture!$J$5:$J$108,MATCH(D175,Fixture!$A$5:$A$108,0)),"-999")),IFERROR(INDEX(Fases!$C$5:$C$10,MATCH(IFERROR(INDEX(Fixture!$B$5:$B$108,MATCH(D175,Fixture!$A$5:$A$108,0)),0),Fases!$A$5:$A$10,0)),0),IF(OR(AND(I175&gt;J175,IFERROR(INDEX(Fixture!$I$5:$I$108,MATCH(D175,Fixture!$A$5:$A$108,0)),0)&gt;IFERROR(INDEX(Fixture!$J$5:$J$108,MATCH(D175,Fixture!$A$5:$A$108,0)),0)),AND(I175&lt;J175,IFERROR(INDEX(Fixture!$I$5:$I$108,MATCH(D175,Fixture!$A$5:$A$108,0)),0)&lt;IFERROR(INDEX(Fixture!$J$5:$J$108,MATCH(D175,Fixture!$A$5:$A$108,0)),0)),AND(I175=J175,IFERROR(INDEX(Fixture!$I$5:$I$108,MATCH(D175,Fixture!$A$5:$A$108,0)),0)=IFERROR(INDEX(Fixture!$J$5:$J$108,MATCH(D175,Fixture!$A$5:$A$108,0)),0))),IFERROR(INDEX(Fases!$D$5:$D$10,MATCH(IFERROR(INDEX(Fixture!$B$5:$B$108,MATCH(D175,Fixture!$A$5:$A$108,0)),0),Fases!$A$5:$A$10,0)),0),0))))</f>
        <v/>
      </c>
      <c r="M175" s="12" t="str">
        <f aca="false">IFERROR(INDEX(Fixture!$K$5:$K$108,MATCH(D175,Fixture!$A$5:$A$108,0)),"")</f>
        <v>PENDIENTE</v>
      </c>
    </row>
    <row r="176" customFormat="false" ht="15" hidden="false" customHeight="false" outlineLevel="0" collapsed="false">
      <c r="A176" s="9" t="n">
        <v>172</v>
      </c>
      <c r="B176" s="9" t="n">
        <v>2</v>
      </c>
      <c r="C176" s="10" t="str">
        <f aca="false">IFERROR(INDEX(Usuarios!$C$5:$C$200,MATCH(B176,Usuarios!$A$5:$A$200,0)),"")</f>
        <v>mari23</v>
      </c>
      <c r="D176" s="9" t="n">
        <v>69</v>
      </c>
      <c r="E176" s="10" t="str">
        <f aca="false">IFERROR(INDEX(Fases!$B$5:$B$10,MATCH(INDEX(Fixture!$B$5:$B$108,MATCH(D176,Fixture!$A$5:$A$108,0)),Fases!$A$5:$A$10,0)),"")</f>
        <v>Grupos</v>
      </c>
      <c r="F176" s="10" t="str">
        <f aca="false">IFERROR(INDEX(Fixture!$E$5:$E$108,MATCH(D176,Fixture!$A$5:$A$108,0)),"")</f>
        <v>Irán</v>
      </c>
      <c r="G176" s="10" t="str">
        <f aca="false">IFERROR(INDEX(Fixture!$F$5:$F$108,MATCH(D176,Fixture!$A$5:$A$108,0)),"")</f>
        <v>Nueva Zelanda</v>
      </c>
      <c r="H176" s="22" t="n">
        <f aca="false">IFERROR(INDEX(Fixture!$G$5:$G$108,MATCH(D176,Fixture!$A$5:$A$108,0)),"")</f>
        <v>46206.875</v>
      </c>
      <c r="I176" s="23"/>
      <c r="J176" s="23"/>
      <c r="K176" s="10" t="str">
        <f aca="false">IFERROR(INDEX(Fixture!$I$5:$I$108,MATCH(D176,Fixture!$A$5:$A$108,0))&amp;"-"&amp;INDEX(Fixture!$J$5:$J$108,MATCH(D176,Fixture!$A$5:$A$108,0)),"")</f>
        <v>-</v>
      </c>
      <c r="L176" s="9" t="str">
        <f aca="false">IF(M176&lt;&gt;"FINALIZADO","",IF(OR(ISBLANK(I176),ISBLANK(J176)),0,IF(AND(I176=IFERROR(INDEX(Fixture!$I$5:$I$108,MATCH(D176,Fixture!$A$5:$A$108,0)),"-999"),J176=IFERROR(INDEX(Fixture!$J$5:$J$108,MATCH(D176,Fixture!$A$5:$A$108,0)),"-999")),IFERROR(INDEX(Fases!$C$5:$C$10,MATCH(IFERROR(INDEX(Fixture!$B$5:$B$108,MATCH(D176,Fixture!$A$5:$A$108,0)),0),Fases!$A$5:$A$10,0)),0),IF(OR(AND(I176&gt;J176,IFERROR(INDEX(Fixture!$I$5:$I$108,MATCH(D176,Fixture!$A$5:$A$108,0)),0)&gt;IFERROR(INDEX(Fixture!$J$5:$J$108,MATCH(D176,Fixture!$A$5:$A$108,0)),0)),AND(I176&lt;J176,IFERROR(INDEX(Fixture!$I$5:$I$108,MATCH(D176,Fixture!$A$5:$A$108,0)),0)&lt;IFERROR(INDEX(Fixture!$J$5:$J$108,MATCH(D176,Fixture!$A$5:$A$108,0)),0)),AND(I176=J176,IFERROR(INDEX(Fixture!$I$5:$I$108,MATCH(D176,Fixture!$A$5:$A$108,0)),0)=IFERROR(INDEX(Fixture!$J$5:$J$108,MATCH(D176,Fixture!$A$5:$A$108,0)),0))),IFERROR(INDEX(Fases!$D$5:$D$10,MATCH(IFERROR(INDEX(Fixture!$B$5:$B$108,MATCH(D176,Fixture!$A$5:$A$108,0)),0),Fases!$A$5:$A$10,0)),0),0))))</f>
        <v/>
      </c>
      <c r="M176" s="10" t="str">
        <f aca="false">IFERROR(INDEX(Fixture!$K$5:$K$108,MATCH(D176,Fixture!$A$5:$A$108,0)),"")</f>
        <v>PENDIENTE</v>
      </c>
    </row>
    <row r="177" customFormat="false" ht="15" hidden="false" customHeight="false" outlineLevel="0" collapsed="false">
      <c r="A177" s="11" t="n">
        <v>173</v>
      </c>
      <c r="B177" s="11" t="n">
        <v>2</v>
      </c>
      <c r="C177" s="12" t="str">
        <f aca="false">IFERROR(INDEX(Usuarios!$C$5:$C$200,MATCH(B177,Usuarios!$A$5:$A$200,0)),"")</f>
        <v>mari23</v>
      </c>
      <c r="D177" s="11" t="n">
        <v>70</v>
      </c>
      <c r="E177" s="12" t="str">
        <f aca="false">IFERROR(INDEX(Fases!$B$5:$B$10,MATCH(INDEX(Fixture!$B$5:$B$108,MATCH(D177,Fixture!$A$5:$A$108,0)),Fases!$A$5:$A$10,0)),"")</f>
        <v>Grupos</v>
      </c>
      <c r="F177" s="12" t="str">
        <f aca="false">IFERROR(INDEX(Fixture!$E$5:$E$108,MATCH(D177,Fixture!$A$5:$A$108,0)),"")</f>
        <v>Qatar</v>
      </c>
      <c r="G177" s="12" t="str">
        <f aca="false">IFERROR(INDEX(Fixture!$F$5:$F$108,MATCH(D177,Fixture!$A$5:$A$108,0)),"")</f>
        <v>Uzbekistán</v>
      </c>
      <c r="H177" s="20" t="n">
        <f aca="false">IFERROR(INDEX(Fixture!$G$5:$G$108,MATCH(D177,Fixture!$A$5:$A$108,0)),"")</f>
        <v>46207</v>
      </c>
      <c r="I177" s="21"/>
      <c r="J177" s="21"/>
      <c r="K177" s="12" t="str">
        <f aca="false">IFERROR(INDEX(Fixture!$I$5:$I$108,MATCH(D177,Fixture!$A$5:$A$108,0))&amp;"-"&amp;INDEX(Fixture!$J$5:$J$108,MATCH(D177,Fixture!$A$5:$A$108,0)),"")</f>
        <v>-</v>
      </c>
      <c r="L177" s="11" t="str">
        <f aca="false">IF(M177&lt;&gt;"FINALIZADO","",IF(OR(ISBLANK(I177),ISBLANK(J177)),0,IF(AND(I177=IFERROR(INDEX(Fixture!$I$5:$I$108,MATCH(D177,Fixture!$A$5:$A$108,0)),"-999"),J177=IFERROR(INDEX(Fixture!$J$5:$J$108,MATCH(D177,Fixture!$A$5:$A$108,0)),"-999")),IFERROR(INDEX(Fases!$C$5:$C$10,MATCH(IFERROR(INDEX(Fixture!$B$5:$B$108,MATCH(D177,Fixture!$A$5:$A$108,0)),0),Fases!$A$5:$A$10,0)),0),IF(OR(AND(I177&gt;J177,IFERROR(INDEX(Fixture!$I$5:$I$108,MATCH(D177,Fixture!$A$5:$A$108,0)),0)&gt;IFERROR(INDEX(Fixture!$J$5:$J$108,MATCH(D177,Fixture!$A$5:$A$108,0)),0)),AND(I177&lt;J177,IFERROR(INDEX(Fixture!$I$5:$I$108,MATCH(D177,Fixture!$A$5:$A$108,0)),0)&lt;IFERROR(INDEX(Fixture!$J$5:$J$108,MATCH(D177,Fixture!$A$5:$A$108,0)),0)),AND(I177=J177,IFERROR(INDEX(Fixture!$I$5:$I$108,MATCH(D177,Fixture!$A$5:$A$108,0)),0)=IFERROR(INDEX(Fixture!$J$5:$J$108,MATCH(D177,Fixture!$A$5:$A$108,0)),0))),IFERROR(INDEX(Fases!$D$5:$D$10,MATCH(IFERROR(INDEX(Fixture!$B$5:$B$108,MATCH(D177,Fixture!$A$5:$A$108,0)),0),Fases!$A$5:$A$10,0)),0),0))))</f>
        <v/>
      </c>
      <c r="M177" s="12" t="str">
        <f aca="false">IFERROR(INDEX(Fixture!$K$5:$K$108,MATCH(D177,Fixture!$A$5:$A$108,0)),"")</f>
        <v>PENDIENTE</v>
      </c>
    </row>
    <row r="178" customFormat="false" ht="15" hidden="false" customHeight="false" outlineLevel="0" collapsed="false">
      <c r="A178" s="9" t="n">
        <v>174</v>
      </c>
      <c r="B178" s="9" t="n">
        <v>2</v>
      </c>
      <c r="C178" s="10" t="str">
        <f aca="false">IFERROR(INDEX(Usuarios!$C$5:$C$200,MATCH(B178,Usuarios!$A$5:$A$200,0)),"")</f>
        <v>mari23</v>
      </c>
      <c r="D178" s="9" t="n">
        <v>71</v>
      </c>
      <c r="E178" s="10" t="str">
        <f aca="false">IFERROR(INDEX(Fases!$B$5:$B$10,MATCH(INDEX(Fixture!$B$5:$B$108,MATCH(D178,Fixture!$A$5:$A$108,0)),Fases!$A$5:$A$10,0)),"")</f>
        <v>Grupos</v>
      </c>
      <c r="F178" s="10" t="str">
        <f aca="false">IFERROR(INDEX(Fixture!$E$5:$E$108,MATCH(D178,Fixture!$A$5:$A$108,0)),"")</f>
        <v>Qatar</v>
      </c>
      <c r="G178" s="10" t="str">
        <f aca="false">IFERROR(INDEX(Fixture!$F$5:$F$108,MATCH(D178,Fixture!$A$5:$A$108,0)),"")</f>
        <v>Nueva Zelanda</v>
      </c>
      <c r="H178" s="22" t="n">
        <f aca="false">IFERROR(INDEX(Fixture!$G$5:$G$108,MATCH(D178,Fixture!$A$5:$A$108,0)),"")</f>
        <v>46207.625</v>
      </c>
      <c r="I178" s="23"/>
      <c r="J178" s="23"/>
      <c r="K178" s="10" t="str">
        <f aca="false">IFERROR(INDEX(Fixture!$I$5:$I$108,MATCH(D178,Fixture!$A$5:$A$108,0))&amp;"-"&amp;INDEX(Fixture!$J$5:$J$108,MATCH(D178,Fixture!$A$5:$A$108,0)),"")</f>
        <v>-</v>
      </c>
      <c r="L178" s="9" t="str">
        <f aca="false">IF(M178&lt;&gt;"FINALIZADO","",IF(OR(ISBLANK(I178),ISBLANK(J178)),0,IF(AND(I178=IFERROR(INDEX(Fixture!$I$5:$I$108,MATCH(D178,Fixture!$A$5:$A$108,0)),"-999"),J178=IFERROR(INDEX(Fixture!$J$5:$J$108,MATCH(D178,Fixture!$A$5:$A$108,0)),"-999")),IFERROR(INDEX(Fases!$C$5:$C$10,MATCH(IFERROR(INDEX(Fixture!$B$5:$B$108,MATCH(D178,Fixture!$A$5:$A$108,0)),0),Fases!$A$5:$A$10,0)),0),IF(OR(AND(I178&gt;J178,IFERROR(INDEX(Fixture!$I$5:$I$108,MATCH(D178,Fixture!$A$5:$A$108,0)),0)&gt;IFERROR(INDEX(Fixture!$J$5:$J$108,MATCH(D178,Fixture!$A$5:$A$108,0)),0)),AND(I178&lt;J178,IFERROR(INDEX(Fixture!$I$5:$I$108,MATCH(D178,Fixture!$A$5:$A$108,0)),0)&lt;IFERROR(INDEX(Fixture!$J$5:$J$108,MATCH(D178,Fixture!$A$5:$A$108,0)),0)),AND(I178=J178,IFERROR(INDEX(Fixture!$I$5:$I$108,MATCH(D178,Fixture!$A$5:$A$108,0)),0)=IFERROR(INDEX(Fixture!$J$5:$J$108,MATCH(D178,Fixture!$A$5:$A$108,0)),0))),IFERROR(INDEX(Fases!$D$5:$D$10,MATCH(IFERROR(INDEX(Fixture!$B$5:$B$108,MATCH(D178,Fixture!$A$5:$A$108,0)),0),Fases!$A$5:$A$10,0)),0),0))))</f>
        <v/>
      </c>
      <c r="M178" s="10" t="str">
        <f aca="false">IFERROR(INDEX(Fixture!$K$5:$K$108,MATCH(D178,Fixture!$A$5:$A$108,0)),"")</f>
        <v>PENDIENTE</v>
      </c>
    </row>
    <row r="179" customFormat="false" ht="15" hidden="false" customHeight="false" outlineLevel="0" collapsed="false">
      <c r="A179" s="11" t="n">
        <v>175</v>
      </c>
      <c r="B179" s="11" t="n">
        <v>2</v>
      </c>
      <c r="C179" s="12" t="str">
        <f aca="false">IFERROR(INDEX(Usuarios!$C$5:$C$200,MATCH(B179,Usuarios!$A$5:$A$200,0)),"")</f>
        <v>mari23</v>
      </c>
      <c r="D179" s="11" t="n">
        <v>72</v>
      </c>
      <c r="E179" s="12" t="str">
        <f aca="false">IFERROR(INDEX(Fases!$B$5:$B$10,MATCH(INDEX(Fixture!$B$5:$B$108,MATCH(D179,Fixture!$A$5:$A$108,0)),Fases!$A$5:$A$10,0)),"")</f>
        <v>Grupos</v>
      </c>
      <c r="F179" s="12" t="str">
        <f aca="false">IFERROR(INDEX(Fixture!$E$5:$E$108,MATCH(D179,Fixture!$A$5:$A$108,0)),"")</f>
        <v>Uzbekistán</v>
      </c>
      <c r="G179" s="12" t="str">
        <f aca="false">IFERROR(INDEX(Fixture!$F$5:$F$108,MATCH(D179,Fixture!$A$5:$A$108,0)),"")</f>
        <v>Nueva Zelanda</v>
      </c>
      <c r="H179" s="20" t="n">
        <f aca="false">IFERROR(INDEX(Fixture!$G$5:$G$108,MATCH(D179,Fixture!$A$5:$A$108,0)),"")</f>
        <v>46207.75</v>
      </c>
      <c r="I179" s="21"/>
      <c r="J179" s="21"/>
      <c r="K179" s="12" t="str">
        <f aca="false">IFERROR(INDEX(Fixture!$I$5:$I$108,MATCH(D179,Fixture!$A$5:$A$108,0))&amp;"-"&amp;INDEX(Fixture!$J$5:$J$108,MATCH(D179,Fixture!$A$5:$A$108,0)),"")</f>
        <v>-</v>
      </c>
      <c r="L179" s="11" t="str">
        <f aca="false">IF(M179&lt;&gt;"FINALIZADO","",IF(OR(ISBLANK(I179),ISBLANK(J179)),0,IF(AND(I179=IFERROR(INDEX(Fixture!$I$5:$I$108,MATCH(D179,Fixture!$A$5:$A$108,0)),"-999"),J179=IFERROR(INDEX(Fixture!$J$5:$J$108,MATCH(D179,Fixture!$A$5:$A$108,0)),"-999")),IFERROR(INDEX(Fases!$C$5:$C$10,MATCH(IFERROR(INDEX(Fixture!$B$5:$B$108,MATCH(D179,Fixture!$A$5:$A$108,0)),0),Fases!$A$5:$A$10,0)),0),IF(OR(AND(I179&gt;J179,IFERROR(INDEX(Fixture!$I$5:$I$108,MATCH(D179,Fixture!$A$5:$A$108,0)),0)&gt;IFERROR(INDEX(Fixture!$J$5:$J$108,MATCH(D179,Fixture!$A$5:$A$108,0)),0)),AND(I179&lt;J179,IFERROR(INDEX(Fixture!$I$5:$I$108,MATCH(D179,Fixture!$A$5:$A$108,0)),0)&lt;IFERROR(INDEX(Fixture!$J$5:$J$108,MATCH(D179,Fixture!$A$5:$A$108,0)),0)),AND(I179=J179,IFERROR(INDEX(Fixture!$I$5:$I$108,MATCH(D179,Fixture!$A$5:$A$108,0)),0)=IFERROR(INDEX(Fixture!$J$5:$J$108,MATCH(D179,Fixture!$A$5:$A$108,0)),0))),IFERROR(INDEX(Fases!$D$5:$D$10,MATCH(IFERROR(INDEX(Fixture!$B$5:$B$108,MATCH(D179,Fixture!$A$5:$A$108,0)),0),Fases!$A$5:$A$10,0)),0),0))))</f>
        <v/>
      </c>
      <c r="M179" s="12" t="str">
        <f aca="false">IFERROR(INDEX(Fixture!$K$5:$K$108,MATCH(D179,Fixture!$A$5:$A$108,0)),"")</f>
        <v>PENDIENTE</v>
      </c>
    </row>
    <row r="180" customFormat="false" ht="15" hidden="false" customHeight="false" outlineLevel="0" collapsed="false">
      <c r="A180" s="9" t="n">
        <v>176</v>
      </c>
      <c r="B180" s="9" t="n">
        <v>2</v>
      </c>
      <c r="C180" s="10" t="str">
        <f aca="false">IFERROR(INDEX(Usuarios!$C$5:$C$200,MATCH(B180,Usuarios!$A$5:$A$200,0)),"")</f>
        <v>mari23</v>
      </c>
      <c r="D180" s="9" t="n">
        <v>73</v>
      </c>
      <c r="E180" s="10" t="str">
        <f aca="false">IFERROR(INDEX(Fases!$B$5:$B$10,MATCH(INDEX(Fixture!$B$5:$B$108,MATCH(D180,Fixture!$A$5:$A$108,0)),Fases!$A$5:$A$10,0)),"")</f>
        <v>Ronda de 32</v>
      </c>
      <c r="F180" s="10" t="str">
        <f aca="false">IFERROR(INDEX(Fixture!$E$5:$E$108,MATCH(D180,Fixture!$A$5:$A$108,0)),"")</f>
        <v>A definir</v>
      </c>
      <c r="G180" s="10" t="str">
        <f aca="false">IFERROR(INDEX(Fixture!$F$5:$F$108,MATCH(D180,Fixture!$A$5:$A$108,0)),"")</f>
        <v>A definir</v>
      </c>
      <c r="H180" s="22" t="n">
        <f aca="false">IFERROR(INDEX(Fixture!$G$5:$G$108,MATCH(D180,Fixture!$A$5:$A$108,0)),"")</f>
        <v>46200.75</v>
      </c>
      <c r="I180" s="23"/>
      <c r="J180" s="23"/>
      <c r="K180" s="10" t="str">
        <f aca="false">IFERROR(INDEX(Fixture!$I$5:$I$108,MATCH(D180,Fixture!$A$5:$A$108,0))&amp;"-"&amp;INDEX(Fixture!$J$5:$J$108,MATCH(D180,Fixture!$A$5:$A$108,0)),"")</f>
        <v>-</v>
      </c>
      <c r="L180" s="9" t="str">
        <f aca="false">IF(M180&lt;&gt;"FINALIZADO","",IF(OR(ISBLANK(I180),ISBLANK(J180)),0,IF(AND(I180=IFERROR(INDEX(Fixture!$I$5:$I$108,MATCH(D180,Fixture!$A$5:$A$108,0)),"-999"),J180=IFERROR(INDEX(Fixture!$J$5:$J$108,MATCH(D180,Fixture!$A$5:$A$108,0)),"-999")),IFERROR(INDEX(Fases!$C$5:$C$10,MATCH(IFERROR(INDEX(Fixture!$B$5:$B$108,MATCH(D180,Fixture!$A$5:$A$108,0)),0),Fases!$A$5:$A$10,0)),0),IF(OR(AND(I180&gt;J180,IFERROR(INDEX(Fixture!$I$5:$I$108,MATCH(D180,Fixture!$A$5:$A$108,0)),0)&gt;IFERROR(INDEX(Fixture!$J$5:$J$108,MATCH(D180,Fixture!$A$5:$A$108,0)),0)),AND(I180&lt;J180,IFERROR(INDEX(Fixture!$I$5:$I$108,MATCH(D180,Fixture!$A$5:$A$108,0)),0)&lt;IFERROR(INDEX(Fixture!$J$5:$J$108,MATCH(D180,Fixture!$A$5:$A$108,0)),0)),AND(I180=J180,IFERROR(INDEX(Fixture!$I$5:$I$108,MATCH(D180,Fixture!$A$5:$A$108,0)),0)=IFERROR(INDEX(Fixture!$J$5:$J$108,MATCH(D180,Fixture!$A$5:$A$108,0)),0))),IFERROR(INDEX(Fases!$D$5:$D$10,MATCH(IFERROR(INDEX(Fixture!$B$5:$B$108,MATCH(D180,Fixture!$A$5:$A$108,0)),0),Fases!$A$5:$A$10,0)),0),0))))</f>
        <v/>
      </c>
      <c r="M180" s="10" t="str">
        <f aca="false">IFERROR(INDEX(Fixture!$K$5:$K$108,MATCH(D180,Fixture!$A$5:$A$108,0)),"")</f>
        <v>PENDIENTE</v>
      </c>
    </row>
    <row r="181" customFormat="false" ht="15" hidden="false" customHeight="false" outlineLevel="0" collapsed="false">
      <c r="A181" s="11" t="n">
        <v>177</v>
      </c>
      <c r="B181" s="11" t="n">
        <v>2</v>
      </c>
      <c r="C181" s="12" t="str">
        <f aca="false">IFERROR(INDEX(Usuarios!$C$5:$C$200,MATCH(B181,Usuarios!$A$5:$A$200,0)),"")</f>
        <v>mari23</v>
      </c>
      <c r="D181" s="11" t="n">
        <v>74</v>
      </c>
      <c r="E181" s="12" t="str">
        <f aca="false">IFERROR(INDEX(Fases!$B$5:$B$10,MATCH(INDEX(Fixture!$B$5:$B$108,MATCH(D181,Fixture!$A$5:$A$108,0)),Fases!$A$5:$A$10,0)),"")</f>
        <v>Ronda de 32</v>
      </c>
      <c r="F181" s="12" t="str">
        <f aca="false">IFERROR(INDEX(Fixture!$E$5:$E$108,MATCH(D181,Fixture!$A$5:$A$108,0)),"")</f>
        <v>A definir</v>
      </c>
      <c r="G181" s="12" t="str">
        <f aca="false">IFERROR(INDEX(Fixture!$F$5:$F$108,MATCH(D181,Fixture!$A$5:$A$108,0)),"")</f>
        <v>A definir</v>
      </c>
      <c r="H181" s="20" t="n">
        <f aca="false">IFERROR(INDEX(Fixture!$G$5:$G$108,MATCH(D181,Fixture!$A$5:$A$108,0)),"")</f>
        <v>46200.75</v>
      </c>
      <c r="I181" s="21"/>
      <c r="J181" s="21"/>
      <c r="K181" s="12" t="str">
        <f aca="false">IFERROR(INDEX(Fixture!$I$5:$I$108,MATCH(D181,Fixture!$A$5:$A$108,0))&amp;"-"&amp;INDEX(Fixture!$J$5:$J$108,MATCH(D181,Fixture!$A$5:$A$108,0)),"")</f>
        <v>-</v>
      </c>
      <c r="L181" s="11" t="str">
        <f aca="false">IF(M181&lt;&gt;"FINALIZADO","",IF(OR(ISBLANK(I181),ISBLANK(J181)),0,IF(AND(I181=IFERROR(INDEX(Fixture!$I$5:$I$108,MATCH(D181,Fixture!$A$5:$A$108,0)),"-999"),J181=IFERROR(INDEX(Fixture!$J$5:$J$108,MATCH(D181,Fixture!$A$5:$A$108,0)),"-999")),IFERROR(INDEX(Fases!$C$5:$C$10,MATCH(IFERROR(INDEX(Fixture!$B$5:$B$108,MATCH(D181,Fixture!$A$5:$A$108,0)),0),Fases!$A$5:$A$10,0)),0),IF(OR(AND(I181&gt;J181,IFERROR(INDEX(Fixture!$I$5:$I$108,MATCH(D181,Fixture!$A$5:$A$108,0)),0)&gt;IFERROR(INDEX(Fixture!$J$5:$J$108,MATCH(D181,Fixture!$A$5:$A$108,0)),0)),AND(I181&lt;J181,IFERROR(INDEX(Fixture!$I$5:$I$108,MATCH(D181,Fixture!$A$5:$A$108,0)),0)&lt;IFERROR(INDEX(Fixture!$J$5:$J$108,MATCH(D181,Fixture!$A$5:$A$108,0)),0)),AND(I181=J181,IFERROR(INDEX(Fixture!$I$5:$I$108,MATCH(D181,Fixture!$A$5:$A$108,0)),0)=IFERROR(INDEX(Fixture!$J$5:$J$108,MATCH(D181,Fixture!$A$5:$A$108,0)),0))),IFERROR(INDEX(Fases!$D$5:$D$10,MATCH(IFERROR(INDEX(Fixture!$B$5:$B$108,MATCH(D181,Fixture!$A$5:$A$108,0)),0),Fases!$A$5:$A$10,0)),0),0))))</f>
        <v/>
      </c>
      <c r="M181" s="12" t="str">
        <f aca="false">IFERROR(INDEX(Fixture!$K$5:$K$108,MATCH(D181,Fixture!$A$5:$A$108,0)),"")</f>
        <v>PENDIENTE</v>
      </c>
    </row>
    <row r="182" customFormat="false" ht="15" hidden="false" customHeight="false" outlineLevel="0" collapsed="false">
      <c r="A182" s="9" t="n">
        <v>178</v>
      </c>
      <c r="B182" s="9" t="n">
        <v>2</v>
      </c>
      <c r="C182" s="10" t="str">
        <f aca="false">IFERROR(INDEX(Usuarios!$C$5:$C$200,MATCH(B182,Usuarios!$A$5:$A$200,0)),"")</f>
        <v>mari23</v>
      </c>
      <c r="D182" s="9" t="n">
        <v>75</v>
      </c>
      <c r="E182" s="10" t="str">
        <f aca="false">IFERROR(INDEX(Fases!$B$5:$B$10,MATCH(INDEX(Fixture!$B$5:$B$108,MATCH(D182,Fixture!$A$5:$A$108,0)),Fases!$A$5:$A$10,0)),"")</f>
        <v>Ronda de 32</v>
      </c>
      <c r="F182" s="10" t="str">
        <f aca="false">IFERROR(INDEX(Fixture!$E$5:$E$108,MATCH(D182,Fixture!$A$5:$A$108,0)),"")</f>
        <v>A definir</v>
      </c>
      <c r="G182" s="10" t="str">
        <f aca="false">IFERROR(INDEX(Fixture!$F$5:$F$108,MATCH(D182,Fixture!$A$5:$A$108,0)),"")</f>
        <v>A definir</v>
      </c>
      <c r="H182" s="22" t="n">
        <f aca="false">IFERROR(INDEX(Fixture!$G$5:$G$108,MATCH(D182,Fixture!$A$5:$A$108,0)),"")</f>
        <v>46200.75</v>
      </c>
      <c r="I182" s="23"/>
      <c r="J182" s="23"/>
      <c r="K182" s="10" t="str">
        <f aca="false">IFERROR(INDEX(Fixture!$I$5:$I$108,MATCH(D182,Fixture!$A$5:$A$108,0))&amp;"-"&amp;INDEX(Fixture!$J$5:$J$108,MATCH(D182,Fixture!$A$5:$A$108,0)),"")</f>
        <v>-</v>
      </c>
      <c r="L182" s="9" t="str">
        <f aca="false">IF(M182&lt;&gt;"FINALIZADO","",IF(OR(ISBLANK(I182),ISBLANK(J182)),0,IF(AND(I182=IFERROR(INDEX(Fixture!$I$5:$I$108,MATCH(D182,Fixture!$A$5:$A$108,0)),"-999"),J182=IFERROR(INDEX(Fixture!$J$5:$J$108,MATCH(D182,Fixture!$A$5:$A$108,0)),"-999")),IFERROR(INDEX(Fases!$C$5:$C$10,MATCH(IFERROR(INDEX(Fixture!$B$5:$B$108,MATCH(D182,Fixture!$A$5:$A$108,0)),0),Fases!$A$5:$A$10,0)),0),IF(OR(AND(I182&gt;J182,IFERROR(INDEX(Fixture!$I$5:$I$108,MATCH(D182,Fixture!$A$5:$A$108,0)),0)&gt;IFERROR(INDEX(Fixture!$J$5:$J$108,MATCH(D182,Fixture!$A$5:$A$108,0)),0)),AND(I182&lt;J182,IFERROR(INDEX(Fixture!$I$5:$I$108,MATCH(D182,Fixture!$A$5:$A$108,0)),0)&lt;IFERROR(INDEX(Fixture!$J$5:$J$108,MATCH(D182,Fixture!$A$5:$A$108,0)),0)),AND(I182=J182,IFERROR(INDEX(Fixture!$I$5:$I$108,MATCH(D182,Fixture!$A$5:$A$108,0)),0)=IFERROR(INDEX(Fixture!$J$5:$J$108,MATCH(D182,Fixture!$A$5:$A$108,0)),0))),IFERROR(INDEX(Fases!$D$5:$D$10,MATCH(IFERROR(INDEX(Fixture!$B$5:$B$108,MATCH(D182,Fixture!$A$5:$A$108,0)),0),Fases!$A$5:$A$10,0)),0),0))))</f>
        <v/>
      </c>
      <c r="M182" s="10" t="str">
        <f aca="false">IFERROR(INDEX(Fixture!$K$5:$K$108,MATCH(D182,Fixture!$A$5:$A$108,0)),"")</f>
        <v>PENDIENTE</v>
      </c>
    </row>
    <row r="183" customFormat="false" ht="15" hidden="false" customHeight="false" outlineLevel="0" collapsed="false">
      <c r="A183" s="11" t="n">
        <v>179</v>
      </c>
      <c r="B183" s="11" t="n">
        <v>2</v>
      </c>
      <c r="C183" s="12" t="str">
        <f aca="false">IFERROR(INDEX(Usuarios!$C$5:$C$200,MATCH(B183,Usuarios!$A$5:$A$200,0)),"")</f>
        <v>mari23</v>
      </c>
      <c r="D183" s="11" t="n">
        <v>76</v>
      </c>
      <c r="E183" s="12" t="str">
        <f aca="false">IFERROR(INDEX(Fases!$B$5:$B$10,MATCH(INDEX(Fixture!$B$5:$B$108,MATCH(D183,Fixture!$A$5:$A$108,0)),Fases!$A$5:$A$10,0)),"")</f>
        <v>Ronda de 32</v>
      </c>
      <c r="F183" s="12" t="str">
        <f aca="false">IFERROR(INDEX(Fixture!$E$5:$E$108,MATCH(D183,Fixture!$A$5:$A$108,0)),"")</f>
        <v>A definir</v>
      </c>
      <c r="G183" s="12" t="str">
        <f aca="false">IFERROR(INDEX(Fixture!$F$5:$F$108,MATCH(D183,Fixture!$A$5:$A$108,0)),"")</f>
        <v>A definir</v>
      </c>
      <c r="H183" s="20" t="n">
        <f aca="false">IFERROR(INDEX(Fixture!$G$5:$G$108,MATCH(D183,Fixture!$A$5:$A$108,0)),"")</f>
        <v>46200.75</v>
      </c>
      <c r="I183" s="21"/>
      <c r="J183" s="21"/>
      <c r="K183" s="12" t="str">
        <f aca="false">IFERROR(INDEX(Fixture!$I$5:$I$108,MATCH(D183,Fixture!$A$5:$A$108,0))&amp;"-"&amp;INDEX(Fixture!$J$5:$J$108,MATCH(D183,Fixture!$A$5:$A$108,0)),"")</f>
        <v>-</v>
      </c>
      <c r="L183" s="11" t="str">
        <f aca="false">IF(M183&lt;&gt;"FINALIZADO","",IF(OR(ISBLANK(I183),ISBLANK(J183)),0,IF(AND(I183=IFERROR(INDEX(Fixture!$I$5:$I$108,MATCH(D183,Fixture!$A$5:$A$108,0)),"-999"),J183=IFERROR(INDEX(Fixture!$J$5:$J$108,MATCH(D183,Fixture!$A$5:$A$108,0)),"-999")),IFERROR(INDEX(Fases!$C$5:$C$10,MATCH(IFERROR(INDEX(Fixture!$B$5:$B$108,MATCH(D183,Fixture!$A$5:$A$108,0)),0),Fases!$A$5:$A$10,0)),0),IF(OR(AND(I183&gt;J183,IFERROR(INDEX(Fixture!$I$5:$I$108,MATCH(D183,Fixture!$A$5:$A$108,0)),0)&gt;IFERROR(INDEX(Fixture!$J$5:$J$108,MATCH(D183,Fixture!$A$5:$A$108,0)),0)),AND(I183&lt;J183,IFERROR(INDEX(Fixture!$I$5:$I$108,MATCH(D183,Fixture!$A$5:$A$108,0)),0)&lt;IFERROR(INDEX(Fixture!$J$5:$J$108,MATCH(D183,Fixture!$A$5:$A$108,0)),0)),AND(I183=J183,IFERROR(INDEX(Fixture!$I$5:$I$108,MATCH(D183,Fixture!$A$5:$A$108,0)),0)=IFERROR(INDEX(Fixture!$J$5:$J$108,MATCH(D183,Fixture!$A$5:$A$108,0)),0))),IFERROR(INDEX(Fases!$D$5:$D$10,MATCH(IFERROR(INDEX(Fixture!$B$5:$B$108,MATCH(D183,Fixture!$A$5:$A$108,0)),0),Fases!$A$5:$A$10,0)),0),0))))</f>
        <v/>
      </c>
      <c r="M183" s="12" t="str">
        <f aca="false">IFERROR(INDEX(Fixture!$K$5:$K$108,MATCH(D183,Fixture!$A$5:$A$108,0)),"")</f>
        <v>PENDIENTE</v>
      </c>
    </row>
    <row r="184" customFormat="false" ht="15" hidden="false" customHeight="false" outlineLevel="0" collapsed="false">
      <c r="A184" s="9" t="n">
        <v>180</v>
      </c>
      <c r="B184" s="9" t="n">
        <v>2</v>
      </c>
      <c r="C184" s="10" t="str">
        <f aca="false">IFERROR(INDEX(Usuarios!$C$5:$C$200,MATCH(B184,Usuarios!$A$5:$A$200,0)),"")</f>
        <v>mari23</v>
      </c>
      <c r="D184" s="9" t="n">
        <v>77</v>
      </c>
      <c r="E184" s="10" t="str">
        <f aca="false">IFERROR(INDEX(Fases!$B$5:$B$10,MATCH(INDEX(Fixture!$B$5:$B$108,MATCH(D184,Fixture!$A$5:$A$108,0)),Fases!$A$5:$A$10,0)),"")</f>
        <v>Ronda de 32</v>
      </c>
      <c r="F184" s="10" t="str">
        <f aca="false">IFERROR(INDEX(Fixture!$E$5:$E$108,MATCH(D184,Fixture!$A$5:$A$108,0)),"")</f>
        <v>A definir</v>
      </c>
      <c r="G184" s="10" t="str">
        <f aca="false">IFERROR(INDEX(Fixture!$F$5:$F$108,MATCH(D184,Fixture!$A$5:$A$108,0)),"")</f>
        <v>A definir</v>
      </c>
      <c r="H184" s="22" t="n">
        <f aca="false">IFERROR(INDEX(Fixture!$G$5:$G$108,MATCH(D184,Fixture!$A$5:$A$108,0)),"")</f>
        <v>46201.75</v>
      </c>
      <c r="I184" s="23"/>
      <c r="J184" s="23"/>
      <c r="K184" s="10" t="str">
        <f aca="false">IFERROR(INDEX(Fixture!$I$5:$I$108,MATCH(D184,Fixture!$A$5:$A$108,0))&amp;"-"&amp;INDEX(Fixture!$J$5:$J$108,MATCH(D184,Fixture!$A$5:$A$108,0)),"")</f>
        <v>-</v>
      </c>
      <c r="L184" s="9" t="str">
        <f aca="false">IF(M184&lt;&gt;"FINALIZADO","",IF(OR(ISBLANK(I184),ISBLANK(J184)),0,IF(AND(I184=IFERROR(INDEX(Fixture!$I$5:$I$108,MATCH(D184,Fixture!$A$5:$A$108,0)),"-999"),J184=IFERROR(INDEX(Fixture!$J$5:$J$108,MATCH(D184,Fixture!$A$5:$A$108,0)),"-999")),IFERROR(INDEX(Fases!$C$5:$C$10,MATCH(IFERROR(INDEX(Fixture!$B$5:$B$108,MATCH(D184,Fixture!$A$5:$A$108,0)),0),Fases!$A$5:$A$10,0)),0),IF(OR(AND(I184&gt;J184,IFERROR(INDEX(Fixture!$I$5:$I$108,MATCH(D184,Fixture!$A$5:$A$108,0)),0)&gt;IFERROR(INDEX(Fixture!$J$5:$J$108,MATCH(D184,Fixture!$A$5:$A$108,0)),0)),AND(I184&lt;J184,IFERROR(INDEX(Fixture!$I$5:$I$108,MATCH(D184,Fixture!$A$5:$A$108,0)),0)&lt;IFERROR(INDEX(Fixture!$J$5:$J$108,MATCH(D184,Fixture!$A$5:$A$108,0)),0)),AND(I184=J184,IFERROR(INDEX(Fixture!$I$5:$I$108,MATCH(D184,Fixture!$A$5:$A$108,0)),0)=IFERROR(INDEX(Fixture!$J$5:$J$108,MATCH(D184,Fixture!$A$5:$A$108,0)),0))),IFERROR(INDEX(Fases!$D$5:$D$10,MATCH(IFERROR(INDEX(Fixture!$B$5:$B$108,MATCH(D184,Fixture!$A$5:$A$108,0)),0),Fases!$A$5:$A$10,0)),0),0))))</f>
        <v/>
      </c>
      <c r="M184" s="10" t="str">
        <f aca="false">IFERROR(INDEX(Fixture!$K$5:$K$108,MATCH(D184,Fixture!$A$5:$A$108,0)),"")</f>
        <v>PENDIENTE</v>
      </c>
    </row>
    <row r="185" customFormat="false" ht="15" hidden="false" customHeight="false" outlineLevel="0" collapsed="false">
      <c r="A185" s="11" t="n">
        <v>181</v>
      </c>
      <c r="B185" s="11" t="n">
        <v>2</v>
      </c>
      <c r="C185" s="12" t="str">
        <f aca="false">IFERROR(INDEX(Usuarios!$C$5:$C$200,MATCH(B185,Usuarios!$A$5:$A$200,0)),"")</f>
        <v>mari23</v>
      </c>
      <c r="D185" s="11" t="n">
        <v>78</v>
      </c>
      <c r="E185" s="12" t="str">
        <f aca="false">IFERROR(INDEX(Fases!$B$5:$B$10,MATCH(INDEX(Fixture!$B$5:$B$108,MATCH(D185,Fixture!$A$5:$A$108,0)),Fases!$A$5:$A$10,0)),"")</f>
        <v>Ronda de 32</v>
      </c>
      <c r="F185" s="12" t="str">
        <f aca="false">IFERROR(INDEX(Fixture!$E$5:$E$108,MATCH(D185,Fixture!$A$5:$A$108,0)),"")</f>
        <v>A definir</v>
      </c>
      <c r="G185" s="12" t="str">
        <f aca="false">IFERROR(INDEX(Fixture!$F$5:$F$108,MATCH(D185,Fixture!$A$5:$A$108,0)),"")</f>
        <v>A definir</v>
      </c>
      <c r="H185" s="20" t="n">
        <f aca="false">IFERROR(INDEX(Fixture!$G$5:$G$108,MATCH(D185,Fixture!$A$5:$A$108,0)),"")</f>
        <v>46201.75</v>
      </c>
      <c r="I185" s="21"/>
      <c r="J185" s="21"/>
      <c r="K185" s="12" t="str">
        <f aca="false">IFERROR(INDEX(Fixture!$I$5:$I$108,MATCH(D185,Fixture!$A$5:$A$108,0))&amp;"-"&amp;INDEX(Fixture!$J$5:$J$108,MATCH(D185,Fixture!$A$5:$A$108,0)),"")</f>
        <v>-</v>
      </c>
      <c r="L185" s="11" t="str">
        <f aca="false">IF(M185&lt;&gt;"FINALIZADO","",IF(OR(ISBLANK(I185),ISBLANK(J185)),0,IF(AND(I185=IFERROR(INDEX(Fixture!$I$5:$I$108,MATCH(D185,Fixture!$A$5:$A$108,0)),"-999"),J185=IFERROR(INDEX(Fixture!$J$5:$J$108,MATCH(D185,Fixture!$A$5:$A$108,0)),"-999")),IFERROR(INDEX(Fases!$C$5:$C$10,MATCH(IFERROR(INDEX(Fixture!$B$5:$B$108,MATCH(D185,Fixture!$A$5:$A$108,0)),0),Fases!$A$5:$A$10,0)),0),IF(OR(AND(I185&gt;J185,IFERROR(INDEX(Fixture!$I$5:$I$108,MATCH(D185,Fixture!$A$5:$A$108,0)),0)&gt;IFERROR(INDEX(Fixture!$J$5:$J$108,MATCH(D185,Fixture!$A$5:$A$108,0)),0)),AND(I185&lt;J185,IFERROR(INDEX(Fixture!$I$5:$I$108,MATCH(D185,Fixture!$A$5:$A$108,0)),0)&lt;IFERROR(INDEX(Fixture!$J$5:$J$108,MATCH(D185,Fixture!$A$5:$A$108,0)),0)),AND(I185=J185,IFERROR(INDEX(Fixture!$I$5:$I$108,MATCH(D185,Fixture!$A$5:$A$108,0)),0)=IFERROR(INDEX(Fixture!$J$5:$J$108,MATCH(D185,Fixture!$A$5:$A$108,0)),0))),IFERROR(INDEX(Fases!$D$5:$D$10,MATCH(IFERROR(INDEX(Fixture!$B$5:$B$108,MATCH(D185,Fixture!$A$5:$A$108,0)),0),Fases!$A$5:$A$10,0)),0),0))))</f>
        <v/>
      </c>
      <c r="M185" s="12" t="str">
        <f aca="false">IFERROR(INDEX(Fixture!$K$5:$K$108,MATCH(D185,Fixture!$A$5:$A$108,0)),"")</f>
        <v>PENDIENTE</v>
      </c>
    </row>
    <row r="186" customFormat="false" ht="15" hidden="false" customHeight="false" outlineLevel="0" collapsed="false">
      <c r="A186" s="9" t="n">
        <v>182</v>
      </c>
      <c r="B186" s="9" t="n">
        <v>2</v>
      </c>
      <c r="C186" s="10" t="str">
        <f aca="false">IFERROR(INDEX(Usuarios!$C$5:$C$200,MATCH(B186,Usuarios!$A$5:$A$200,0)),"")</f>
        <v>mari23</v>
      </c>
      <c r="D186" s="9" t="n">
        <v>79</v>
      </c>
      <c r="E186" s="10" t="str">
        <f aca="false">IFERROR(INDEX(Fases!$B$5:$B$10,MATCH(INDEX(Fixture!$B$5:$B$108,MATCH(D186,Fixture!$A$5:$A$108,0)),Fases!$A$5:$A$10,0)),"")</f>
        <v>Ronda de 32</v>
      </c>
      <c r="F186" s="10" t="str">
        <f aca="false">IFERROR(INDEX(Fixture!$E$5:$E$108,MATCH(D186,Fixture!$A$5:$A$108,0)),"")</f>
        <v>A definir</v>
      </c>
      <c r="G186" s="10" t="str">
        <f aca="false">IFERROR(INDEX(Fixture!$F$5:$F$108,MATCH(D186,Fixture!$A$5:$A$108,0)),"")</f>
        <v>A definir</v>
      </c>
      <c r="H186" s="22" t="n">
        <f aca="false">IFERROR(INDEX(Fixture!$G$5:$G$108,MATCH(D186,Fixture!$A$5:$A$108,0)),"")</f>
        <v>46201.75</v>
      </c>
      <c r="I186" s="23"/>
      <c r="J186" s="23"/>
      <c r="K186" s="10" t="str">
        <f aca="false">IFERROR(INDEX(Fixture!$I$5:$I$108,MATCH(D186,Fixture!$A$5:$A$108,0))&amp;"-"&amp;INDEX(Fixture!$J$5:$J$108,MATCH(D186,Fixture!$A$5:$A$108,0)),"")</f>
        <v>-</v>
      </c>
      <c r="L186" s="9" t="str">
        <f aca="false">IF(M186&lt;&gt;"FINALIZADO","",IF(OR(ISBLANK(I186),ISBLANK(J186)),0,IF(AND(I186=IFERROR(INDEX(Fixture!$I$5:$I$108,MATCH(D186,Fixture!$A$5:$A$108,0)),"-999"),J186=IFERROR(INDEX(Fixture!$J$5:$J$108,MATCH(D186,Fixture!$A$5:$A$108,0)),"-999")),IFERROR(INDEX(Fases!$C$5:$C$10,MATCH(IFERROR(INDEX(Fixture!$B$5:$B$108,MATCH(D186,Fixture!$A$5:$A$108,0)),0),Fases!$A$5:$A$10,0)),0),IF(OR(AND(I186&gt;J186,IFERROR(INDEX(Fixture!$I$5:$I$108,MATCH(D186,Fixture!$A$5:$A$108,0)),0)&gt;IFERROR(INDEX(Fixture!$J$5:$J$108,MATCH(D186,Fixture!$A$5:$A$108,0)),0)),AND(I186&lt;J186,IFERROR(INDEX(Fixture!$I$5:$I$108,MATCH(D186,Fixture!$A$5:$A$108,0)),0)&lt;IFERROR(INDEX(Fixture!$J$5:$J$108,MATCH(D186,Fixture!$A$5:$A$108,0)),0)),AND(I186=J186,IFERROR(INDEX(Fixture!$I$5:$I$108,MATCH(D186,Fixture!$A$5:$A$108,0)),0)=IFERROR(INDEX(Fixture!$J$5:$J$108,MATCH(D186,Fixture!$A$5:$A$108,0)),0))),IFERROR(INDEX(Fases!$D$5:$D$10,MATCH(IFERROR(INDEX(Fixture!$B$5:$B$108,MATCH(D186,Fixture!$A$5:$A$108,0)),0),Fases!$A$5:$A$10,0)),0),0))))</f>
        <v/>
      </c>
      <c r="M186" s="10" t="str">
        <f aca="false">IFERROR(INDEX(Fixture!$K$5:$K$108,MATCH(D186,Fixture!$A$5:$A$108,0)),"")</f>
        <v>PENDIENTE</v>
      </c>
    </row>
    <row r="187" customFormat="false" ht="15" hidden="false" customHeight="false" outlineLevel="0" collapsed="false">
      <c r="A187" s="11" t="n">
        <v>183</v>
      </c>
      <c r="B187" s="11" t="n">
        <v>2</v>
      </c>
      <c r="C187" s="12" t="str">
        <f aca="false">IFERROR(INDEX(Usuarios!$C$5:$C$200,MATCH(B187,Usuarios!$A$5:$A$200,0)),"")</f>
        <v>mari23</v>
      </c>
      <c r="D187" s="11" t="n">
        <v>80</v>
      </c>
      <c r="E187" s="12" t="str">
        <f aca="false">IFERROR(INDEX(Fases!$B$5:$B$10,MATCH(INDEX(Fixture!$B$5:$B$108,MATCH(D187,Fixture!$A$5:$A$108,0)),Fases!$A$5:$A$10,0)),"")</f>
        <v>Ronda de 32</v>
      </c>
      <c r="F187" s="12" t="str">
        <f aca="false">IFERROR(INDEX(Fixture!$E$5:$E$108,MATCH(D187,Fixture!$A$5:$A$108,0)),"")</f>
        <v>A definir</v>
      </c>
      <c r="G187" s="12" t="str">
        <f aca="false">IFERROR(INDEX(Fixture!$F$5:$F$108,MATCH(D187,Fixture!$A$5:$A$108,0)),"")</f>
        <v>A definir</v>
      </c>
      <c r="H187" s="20" t="n">
        <f aca="false">IFERROR(INDEX(Fixture!$G$5:$G$108,MATCH(D187,Fixture!$A$5:$A$108,0)),"")</f>
        <v>46201.75</v>
      </c>
      <c r="I187" s="21"/>
      <c r="J187" s="21"/>
      <c r="K187" s="12" t="str">
        <f aca="false">IFERROR(INDEX(Fixture!$I$5:$I$108,MATCH(D187,Fixture!$A$5:$A$108,0))&amp;"-"&amp;INDEX(Fixture!$J$5:$J$108,MATCH(D187,Fixture!$A$5:$A$108,0)),"")</f>
        <v>-</v>
      </c>
      <c r="L187" s="11" t="str">
        <f aca="false">IF(M187&lt;&gt;"FINALIZADO","",IF(OR(ISBLANK(I187),ISBLANK(J187)),0,IF(AND(I187=IFERROR(INDEX(Fixture!$I$5:$I$108,MATCH(D187,Fixture!$A$5:$A$108,0)),"-999"),J187=IFERROR(INDEX(Fixture!$J$5:$J$108,MATCH(D187,Fixture!$A$5:$A$108,0)),"-999")),IFERROR(INDEX(Fases!$C$5:$C$10,MATCH(IFERROR(INDEX(Fixture!$B$5:$B$108,MATCH(D187,Fixture!$A$5:$A$108,0)),0),Fases!$A$5:$A$10,0)),0),IF(OR(AND(I187&gt;J187,IFERROR(INDEX(Fixture!$I$5:$I$108,MATCH(D187,Fixture!$A$5:$A$108,0)),0)&gt;IFERROR(INDEX(Fixture!$J$5:$J$108,MATCH(D187,Fixture!$A$5:$A$108,0)),0)),AND(I187&lt;J187,IFERROR(INDEX(Fixture!$I$5:$I$108,MATCH(D187,Fixture!$A$5:$A$108,0)),0)&lt;IFERROR(INDEX(Fixture!$J$5:$J$108,MATCH(D187,Fixture!$A$5:$A$108,0)),0)),AND(I187=J187,IFERROR(INDEX(Fixture!$I$5:$I$108,MATCH(D187,Fixture!$A$5:$A$108,0)),0)=IFERROR(INDEX(Fixture!$J$5:$J$108,MATCH(D187,Fixture!$A$5:$A$108,0)),0))),IFERROR(INDEX(Fases!$D$5:$D$10,MATCH(IFERROR(INDEX(Fixture!$B$5:$B$108,MATCH(D187,Fixture!$A$5:$A$108,0)),0),Fases!$A$5:$A$10,0)),0),0))))</f>
        <v/>
      </c>
      <c r="M187" s="12" t="str">
        <f aca="false">IFERROR(INDEX(Fixture!$K$5:$K$108,MATCH(D187,Fixture!$A$5:$A$108,0)),"")</f>
        <v>PENDIENTE</v>
      </c>
    </row>
    <row r="188" customFormat="false" ht="15" hidden="false" customHeight="false" outlineLevel="0" collapsed="false">
      <c r="A188" s="9" t="n">
        <v>184</v>
      </c>
      <c r="B188" s="9" t="n">
        <v>2</v>
      </c>
      <c r="C188" s="10" t="str">
        <f aca="false">IFERROR(INDEX(Usuarios!$C$5:$C$200,MATCH(B188,Usuarios!$A$5:$A$200,0)),"")</f>
        <v>mari23</v>
      </c>
      <c r="D188" s="9" t="n">
        <v>81</v>
      </c>
      <c r="E188" s="10" t="str">
        <f aca="false">IFERROR(INDEX(Fases!$B$5:$B$10,MATCH(INDEX(Fixture!$B$5:$B$108,MATCH(D188,Fixture!$A$5:$A$108,0)),Fases!$A$5:$A$10,0)),"")</f>
        <v>Ronda de 32</v>
      </c>
      <c r="F188" s="10" t="str">
        <f aca="false">IFERROR(INDEX(Fixture!$E$5:$E$108,MATCH(D188,Fixture!$A$5:$A$108,0)),"")</f>
        <v>A definir</v>
      </c>
      <c r="G188" s="10" t="str">
        <f aca="false">IFERROR(INDEX(Fixture!$F$5:$F$108,MATCH(D188,Fixture!$A$5:$A$108,0)),"")</f>
        <v>A definir</v>
      </c>
      <c r="H188" s="22" t="n">
        <f aca="false">IFERROR(INDEX(Fixture!$G$5:$G$108,MATCH(D188,Fixture!$A$5:$A$108,0)),"")</f>
        <v>46202.75</v>
      </c>
      <c r="I188" s="23"/>
      <c r="J188" s="23"/>
      <c r="K188" s="10" t="str">
        <f aca="false">IFERROR(INDEX(Fixture!$I$5:$I$108,MATCH(D188,Fixture!$A$5:$A$108,0))&amp;"-"&amp;INDEX(Fixture!$J$5:$J$108,MATCH(D188,Fixture!$A$5:$A$108,0)),"")</f>
        <v>-</v>
      </c>
      <c r="L188" s="9" t="str">
        <f aca="false">IF(M188&lt;&gt;"FINALIZADO","",IF(OR(ISBLANK(I188),ISBLANK(J188)),0,IF(AND(I188=IFERROR(INDEX(Fixture!$I$5:$I$108,MATCH(D188,Fixture!$A$5:$A$108,0)),"-999"),J188=IFERROR(INDEX(Fixture!$J$5:$J$108,MATCH(D188,Fixture!$A$5:$A$108,0)),"-999")),IFERROR(INDEX(Fases!$C$5:$C$10,MATCH(IFERROR(INDEX(Fixture!$B$5:$B$108,MATCH(D188,Fixture!$A$5:$A$108,0)),0),Fases!$A$5:$A$10,0)),0),IF(OR(AND(I188&gt;J188,IFERROR(INDEX(Fixture!$I$5:$I$108,MATCH(D188,Fixture!$A$5:$A$108,0)),0)&gt;IFERROR(INDEX(Fixture!$J$5:$J$108,MATCH(D188,Fixture!$A$5:$A$108,0)),0)),AND(I188&lt;J188,IFERROR(INDEX(Fixture!$I$5:$I$108,MATCH(D188,Fixture!$A$5:$A$108,0)),0)&lt;IFERROR(INDEX(Fixture!$J$5:$J$108,MATCH(D188,Fixture!$A$5:$A$108,0)),0)),AND(I188=J188,IFERROR(INDEX(Fixture!$I$5:$I$108,MATCH(D188,Fixture!$A$5:$A$108,0)),0)=IFERROR(INDEX(Fixture!$J$5:$J$108,MATCH(D188,Fixture!$A$5:$A$108,0)),0))),IFERROR(INDEX(Fases!$D$5:$D$10,MATCH(IFERROR(INDEX(Fixture!$B$5:$B$108,MATCH(D188,Fixture!$A$5:$A$108,0)),0),Fases!$A$5:$A$10,0)),0),0))))</f>
        <v/>
      </c>
      <c r="M188" s="10" t="str">
        <f aca="false">IFERROR(INDEX(Fixture!$K$5:$K$108,MATCH(D188,Fixture!$A$5:$A$108,0)),"")</f>
        <v>PENDIENTE</v>
      </c>
    </row>
    <row r="189" customFormat="false" ht="15" hidden="false" customHeight="false" outlineLevel="0" collapsed="false">
      <c r="A189" s="11" t="n">
        <v>185</v>
      </c>
      <c r="B189" s="11" t="n">
        <v>2</v>
      </c>
      <c r="C189" s="12" t="str">
        <f aca="false">IFERROR(INDEX(Usuarios!$C$5:$C$200,MATCH(B189,Usuarios!$A$5:$A$200,0)),"")</f>
        <v>mari23</v>
      </c>
      <c r="D189" s="11" t="n">
        <v>82</v>
      </c>
      <c r="E189" s="12" t="str">
        <f aca="false">IFERROR(INDEX(Fases!$B$5:$B$10,MATCH(INDEX(Fixture!$B$5:$B$108,MATCH(D189,Fixture!$A$5:$A$108,0)),Fases!$A$5:$A$10,0)),"")</f>
        <v>Ronda de 32</v>
      </c>
      <c r="F189" s="12" t="str">
        <f aca="false">IFERROR(INDEX(Fixture!$E$5:$E$108,MATCH(D189,Fixture!$A$5:$A$108,0)),"")</f>
        <v>A definir</v>
      </c>
      <c r="G189" s="12" t="str">
        <f aca="false">IFERROR(INDEX(Fixture!$F$5:$F$108,MATCH(D189,Fixture!$A$5:$A$108,0)),"")</f>
        <v>A definir</v>
      </c>
      <c r="H189" s="20" t="n">
        <f aca="false">IFERROR(INDEX(Fixture!$G$5:$G$108,MATCH(D189,Fixture!$A$5:$A$108,0)),"")</f>
        <v>46202.75</v>
      </c>
      <c r="I189" s="21"/>
      <c r="J189" s="21"/>
      <c r="K189" s="12" t="str">
        <f aca="false">IFERROR(INDEX(Fixture!$I$5:$I$108,MATCH(D189,Fixture!$A$5:$A$108,0))&amp;"-"&amp;INDEX(Fixture!$J$5:$J$108,MATCH(D189,Fixture!$A$5:$A$108,0)),"")</f>
        <v>-</v>
      </c>
      <c r="L189" s="11" t="str">
        <f aca="false">IF(M189&lt;&gt;"FINALIZADO","",IF(OR(ISBLANK(I189),ISBLANK(J189)),0,IF(AND(I189=IFERROR(INDEX(Fixture!$I$5:$I$108,MATCH(D189,Fixture!$A$5:$A$108,0)),"-999"),J189=IFERROR(INDEX(Fixture!$J$5:$J$108,MATCH(D189,Fixture!$A$5:$A$108,0)),"-999")),IFERROR(INDEX(Fases!$C$5:$C$10,MATCH(IFERROR(INDEX(Fixture!$B$5:$B$108,MATCH(D189,Fixture!$A$5:$A$108,0)),0),Fases!$A$5:$A$10,0)),0),IF(OR(AND(I189&gt;J189,IFERROR(INDEX(Fixture!$I$5:$I$108,MATCH(D189,Fixture!$A$5:$A$108,0)),0)&gt;IFERROR(INDEX(Fixture!$J$5:$J$108,MATCH(D189,Fixture!$A$5:$A$108,0)),0)),AND(I189&lt;J189,IFERROR(INDEX(Fixture!$I$5:$I$108,MATCH(D189,Fixture!$A$5:$A$108,0)),0)&lt;IFERROR(INDEX(Fixture!$J$5:$J$108,MATCH(D189,Fixture!$A$5:$A$108,0)),0)),AND(I189=J189,IFERROR(INDEX(Fixture!$I$5:$I$108,MATCH(D189,Fixture!$A$5:$A$108,0)),0)=IFERROR(INDEX(Fixture!$J$5:$J$108,MATCH(D189,Fixture!$A$5:$A$108,0)),0))),IFERROR(INDEX(Fases!$D$5:$D$10,MATCH(IFERROR(INDEX(Fixture!$B$5:$B$108,MATCH(D189,Fixture!$A$5:$A$108,0)),0),Fases!$A$5:$A$10,0)),0),0))))</f>
        <v/>
      </c>
      <c r="M189" s="12" t="str">
        <f aca="false">IFERROR(INDEX(Fixture!$K$5:$K$108,MATCH(D189,Fixture!$A$5:$A$108,0)),"")</f>
        <v>PENDIENTE</v>
      </c>
    </row>
    <row r="190" customFormat="false" ht="15" hidden="false" customHeight="false" outlineLevel="0" collapsed="false">
      <c r="A190" s="9" t="n">
        <v>186</v>
      </c>
      <c r="B190" s="9" t="n">
        <v>2</v>
      </c>
      <c r="C190" s="10" t="str">
        <f aca="false">IFERROR(INDEX(Usuarios!$C$5:$C$200,MATCH(B190,Usuarios!$A$5:$A$200,0)),"")</f>
        <v>mari23</v>
      </c>
      <c r="D190" s="9" t="n">
        <v>83</v>
      </c>
      <c r="E190" s="10" t="str">
        <f aca="false">IFERROR(INDEX(Fases!$B$5:$B$10,MATCH(INDEX(Fixture!$B$5:$B$108,MATCH(D190,Fixture!$A$5:$A$108,0)),Fases!$A$5:$A$10,0)),"")</f>
        <v>Ronda de 32</v>
      </c>
      <c r="F190" s="10" t="str">
        <f aca="false">IFERROR(INDEX(Fixture!$E$5:$E$108,MATCH(D190,Fixture!$A$5:$A$108,0)),"")</f>
        <v>A definir</v>
      </c>
      <c r="G190" s="10" t="str">
        <f aca="false">IFERROR(INDEX(Fixture!$F$5:$F$108,MATCH(D190,Fixture!$A$5:$A$108,0)),"")</f>
        <v>A definir</v>
      </c>
      <c r="H190" s="22" t="n">
        <f aca="false">IFERROR(INDEX(Fixture!$G$5:$G$108,MATCH(D190,Fixture!$A$5:$A$108,0)),"")</f>
        <v>46202.75</v>
      </c>
      <c r="I190" s="23"/>
      <c r="J190" s="23"/>
      <c r="K190" s="10" t="str">
        <f aca="false">IFERROR(INDEX(Fixture!$I$5:$I$108,MATCH(D190,Fixture!$A$5:$A$108,0))&amp;"-"&amp;INDEX(Fixture!$J$5:$J$108,MATCH(D190,Fixture!$A$5:$A$108,0)),"")</f>
        <v>-</v>
      </c>
      <c r="L190" s="9" t="str">
        <f aca="false">IF(M190&lt;&gt;"FINALIZADO","",IF(OR(ISBLANK(I190),ISBLANK(J190)),0,IF(AND(I190=IFERROR(INDEX(Fixture!$I$5:$I$108,MATCH(D190,Fixture!$A$5:$A$108,0)),"-999"),J190=IFERROR(INDEX(Fixture!$J$5:$J$108,MATCH(D190,Fixture!$A$5:$A$108,0)),"-999")),IFERROR(INDEX(Fases!$C$5:$C$10,MATCH(IFERROR(INDEX(Fixture!$B$5:$B$108,MATCH(D190,Fixture!$A$5:$A$108,0)),0),Fases!$A$5:$A$10,0)),0),IF(OR(AND(I190&gt;J190,IFERROR(INDEX(Fixture!$I$5:$I$108,MATCH(D190,Fixture!$A$5:$A$108,0)),0)&gt;IFERROR(INDEX(Fixture!$J$5:$J$108,MATCH(D190,Fixture!$A$5:$A$108,0)),0)),AND(I190&lt;J190,IFERROR(INDEX(Fixture!$I$5:$I$108,MATCH(D190,Fixture!$A$5:$A$108,0)),0)&lt;IFERROR(INDEX(Fixture!$J$5:$J$108,MATCH(D190,Fixture!$A$5:$A$108,0)),0)),AND(I190=J190,IFERROR(INDEX(Fixture!$I$5:$I$108,MATCH(D190,Fixture!$A$5:$A$108,0)),0)=IFERROR(INDEX(Fixture!$J$5:$J$108,MATCH(D190,Fixture!$A$5:$A$108,0)),0))),IFERROR(INDEX(Fases!$D$5:$D$10,MATCH(IFERROR(INDEX(Fixture!$B$5:$B$108,MATCH(D190,Fixture!$A$5:$A$108,0)),0),Fases!$A$5:$A$10,0)),0),0))))</f>
        <v/>
      </c>
      <c r="M190" s="10" t="str">
        <f aca="false">IFERROR(INDEX(Fixture!$K$5:$K$108,MATCH(D190,Fixture!$A$5:$A$108,0)),"")</f>
        <v>PENDIENTE</v>
      </c>
    </row>
    <row r="191" customFormat="false" ht="15" hidden="false" customHeight="false" outlineLevel="0" collapsed="false">
      <c r="A191" s="11" t="n">
        <v>187</v>
      </c>
      <c r="B191" s="11" t="n">
        <v>2</v>
      </c>
      <c r="C191" s="12" t="str">
        <f aca="false">IFERROR(INDEX(Usuarios!$C$5:$C$200,MATCH(B191,Usuarios!$A$5:$A$200,0)),"")</f>
        <v>mari23</v>
      </c>
      <c r="D191" s="11" t="n">
        <v>84</v>
      </c>
      <c r="E191" s="12" t="str">
        <f aca="false">IFERROR(INDEX(Fases!$B$5:$B$10,MATCH(INDEX(Fixture!$B$5:$B$108,MATCH(D191,Fixture!$A$5:$A$108,0)),Fases!$A$5:$A$10,0)),"")</f>
        <v>Ronda de 32</v>
      </c>
      <c r="F191" s="12" t="str">
        <f aca="false">IFERROR(INDEX(Fixture!$E$5:$E$108,MATCH(D191,Fixture!$A$5:$A$108,0)),"")</f>
        <v>A definir</v>
      </c>
      <c r="G191" s="12" t="str">
        <f aca="false">IFERROR(INDEX(Fixture!$F$5:$F$108,MATCH(D191,Fixture!$A$5:$A$108,0)),"")</f>
        <v>A definir</v>
      </c>
      <c r="H191" s="20" t="n">
        <f aca="false">IFERROR(INDEX(Fixture!$G$5:$G$108,MATCH(D191,Fixture!$A$5:$A$108,0)),"")</f>
        <v>46202.75</v>
      </c>
      <c r="I191" s="21"/>
      <c r="J191" s="21"/>
      <c r="K191" s="12" t="str">
        <f aca="false">IFERROR(INDEX(Fixture!$I$5:$I$108,MATCH(D191,Fixture!$A$5:$A$108,0))&amp;"-"&amp;INDEX(Fixture!$J$5:$J$108,MATCH(D191,Fixture!$A$5:$A$108,0)),"")</f>
        <v>-</v>
      </c>
      <c r="L191" s="11" t="str">
        <f aca="false">IF(M191&lt;&gt;"FINALIZADO","",IF(OR(ISBLANK(I191),ISBLANK(J191)),0,IF(AND(I191=IFERROR(INDEX(Fixture!$I$5:$I$108,MATCH(D191,Fixture!$A$5:$A$108,0)),"-999"),J191=IFERROR(INDEX(Fixture!$J$5:$J$108,MATCH(D191,Fixture!$A$5:$A$108,0)),"-999")),IFERROR(INDEX(Fases!$C$5:$C$10,MATCH(IFERROR(INDEX(Fixture!$B$5:$B$108,MATCH(D191,Fixture!$A$5:$A$108,0)),0),Fases!$A$5:$A$10,0)),0),IF(OR(AND(I191&gt;J191,IFERROR(INDEX(Fixture!$I$5:$I$108,MATCH(D191,Fixture!$A$5:$A$108,0)),0)&gt;IFERROR(INDEX(Fixture!$J$5:$J$108,MATCH(D191,Fixture!$A$5:$A$108,0)),0)),AND(I191&lt;J191,IFERROR(INDEX(Fixture!$I$5:$I$108,MATCH(D191,Fixture!$A$5:$A$108,0)),0)&lt;IFERROR(INDEX(Fixture!$J$5:$J$108,MATCH(D191,Fixture!$A$5:$A$108,0)),0)),AND(I191=J191,IFERROR(INDEX(Fixture!$I$5:$I$108,MATCH(D191,Fixture!$A$5:$A$108,0)),0)=IFERROR(INDEX(Fixture!$J$5:$J$108,MATCH(D191,Fixture!$A$5:$A$108,0)),0))),IFERROR(INDEX(Fases!$D$5:$D$10,MATCH(IFERROR(INDEX(Fixture!$B$5:$B$108,MATCH(D191,Fixture!$A$5:$A$108,0)),0),Fases!$A$5:$A$10,0)),0),0))))</f>
        <v/>
      </c>
      <c r="M191" s="12" t="str">
        <f aca="false">IFERROR(INDEX(Fixture!$K$5:$K$108,MATCH(D191,Fixture!$A$5:$A$108,0)),"")</f>
        <v>PENDIENTE</v>
      </c>
    </row>
    <row r="192" customFormat="false" ht="15" hidden="false" customHeight="false" outlineLevel="0" collapsed="false">
      <c r="A192" s="9" t="n">
        <v>188</v>
      </c>
      <c r="B192" s="9" t="n">
        <v>2</v>
      </c>
      <c r="C192" s="10" t="str">
        <f aca="false">IFERROR(INDEX(Usuarios!$C$5:$C$200,MATCH(B192,Usuarios!$A$5:$A$200,0)),"")</f>
        <v>mari23</v>
      </c>
      <c r="D192" s="9" t="n">
        <v>85</v>
      </c>
      <c r="E192" s="10" t="str">
        <f aca="false">IFERROR(INDEX(Fases!$B$5:$B$10,MATCH(INDEX(Fixture!$B$5:$B$108,MATCH(D192,Fixture!$A$5:$A$108,0)),Fases!$A$5:$A$10,0)),"")</f>
        <v>Ronda de 32</v>
      </c>
      <c r="F192" s="10" t="str">
        <f aca="false">IFERROR(INDEX(Fixture!$E$5:$E$108,MATCH(D192,Fixture!$A$5:$A$108,0)),"")</f>
        <v>A definir</v>
      </c>
      <c r="G192" s="10" t="str">
        <f aca="false">IFERROR(INDEX(Fixture!$F$5:$F$108,MATCH(D192,Fixture!$A$5:$A$108,0)),"")</f>
        <v>A definir</v>
      </c>
      <c r="H192" s="22" t="n">
        <f aca="false">IFERROR(INDEX(Fixture!$G$5:$G$108,MATCH(D192,Fixture!$A$5:$A$108,0)),"")</f>
        <v>46203.75</v>
      </c>
      <c r="I192" s="23"/>
      <c r="J192" s="23"/>
      <c r="K192" s="10" t="str">
        <f aca="false">IFERROR(INDEX(Fixture!$I$5:$I$108,MATCH(D192,Fixture!$A$5:$A$108,0))&amp;"-"&amp;INDEX(Fixture!$J$5:$J$108,MATCH(D192,Fixture!$A$5:$A$108,0)),"")</f>
        <v>-</v>
      </c>
      <c r="L192" s="9" t="str">
        <f aca="false">IF(M192&lt;&gt;"FINALIZADO","",IF(OR(ISBLANK(I192),ISBLANK(J192)),0,IF(AND(I192=IFERROR(INDEX(Fixture!$I$5:$I$108,MATCH(D192,Fixture!$A$5:$A$108,0)),"-999"),J192=IFERROR(INDEX(Fixture!$J$5:$J$108,MATCH(D192,Fixture!$A$5:$A$108,0)),"-999")),IFERROR(INDEX(Fases!$C$5:$C$10,MATCH(IFERROR(INDEX(Fixture!$B$5:$B$108,MATCH(D192,Fixture!$A$5:$A$108,0)),0),Fases!$A$5:$A$10,0)),0),IF(OR(AND(I192&gt;J192,IFERROR(INDEX(Fixture!$I$5:$I$108,MATCH(D192,Fixture!$A$5:$A$108,0)),0)&gt;IFERROR(INDEX(Fixture!$J$5:$J$108,MATCH(D192,Fixture!$A$5:$A$108,0)),0)),AND(I192&lt;J192,IFERROR(INDEX(Fixture!$I$5:$I$108,MATCH(D192,Fixture!$A$5:$A$108,0)),0)&lt;IFERROR(INDEX(Fixture!$J$5:$J$108,MATCH(D192,Fixture!$A$5:$A$108,0)),0)),AND(I192=J192,IFERROR(INDEX(Fixture!$I$5:$I$108,MATCH(D192,Fixture!$A$5:$A$108,0)),0)=IFERROR(INDEX(Fixture!$J$5:$J$108,MATCH(D192,Fixture!$A$5:$A$108,0)),0))),IFERROR(INDEX(Fases!$D$5:$D$10,MATCH(IFERROR(INDEX(Fixture!$B$5:$B$108,MATCH(D192,Fixture!$A$5:$A$108,0)),0),Fases!$A$5:$A$10,0)),0),0))))</f>
        <v/>
      </c>
      <c r="M192" s="10" t="str">
        <f aca="false">IFERROR(INDEX(Fixture!$K$5:$K$108,MATCH(D192,Fixture!$A$5:$A$108,0)),"")</f>
        <v>PENDIENTE</v>
      </c>
    </row>
    <row r="193" customFormat="false" ht="15" hidden="false" customHeight="false" outlineLevel="0" collapsed="false">
      <c r="A193" s="11" t="n">
        <v>189</v>
      </c>
      <c r="B193" s="11" t="n">
        <v>2</v>
      </c>
      <c r="C193" s="12" t="str">
        <f aca="false">IFERROR(INDEX(Usuarios!$C$5:$C$200,MATCH(B193,Usuarios!$A$5:$A$200,0)),"")</f>
        <v>mari23</v>
      </c>
      <c r="D193" s="11" t="n">
        <v>86</v>
      </c>
      <c r="E193" s="12" t="str">
        <f aca="false">IFERROR(INDEX(Fases!$B$5:$B$10,MATCH(INDEX(Fixture!$B$5:$B$108,MATCH(D193,Fixture!$A$5:$A$108,0)),Fases!$A$5:$A$10,0)),"")</f>
        <v>Ronda de 32</v>
      </c>
      <c r="F193" s="12" t="str">
        <f aca="false">IFERROR(INDEX(Fixture!$E$5:$E$108,MATCH(D193,Fixture!$A$5:$A$108,0)),"")</f>
        <v>A definir</v>
      </c>
      <c r="G193" s="12" t="str">
        <f aca="false">IFERROR(INDEX(Fixture!$F$5:$F$108,MATCH(D193,Fixture!$A$5:$A$108,0)),"")</f>
        <v>A definir</v>
      </c>
      <c r="H193" s="20" t="n">
        <f aca="false">IFERROR(INDEX(Fixture!$G$5:$G$108,MATCH(D193,Fixture!$A$5:$A$108,0)),"")</f>
        <v>46203.75</v>
      </c>
      <c r="I193" s="21"/>
      <c r="J193" s="21"/>
      <c r="K193" s="12" t="str">
        <f aca="false">IFERROR(INDEX(Fixture!$I$5:$I$108,MATCH(D193,Fixture!$A$5:$A$108,0))&amp;"-"&amp;INDEX(Fixture!$J$5:$J$108,MATCH(D193,Fixture!$A$5:$A$108,0)),"")</f>
        <v>-</v>
      </c>
      <c r="L193" s="11" t="str">
        <f aca="false">IF(M193&lt;&gt;"FINALIZADO","",IF(OR(ISBLANK(I193),ISBLANK(J193)),0,IF(AND(I193=IFERROR(INDEX(Fixture!$I$5:$I$108,MATCH(D193,Fixture!$A$5:$A$108,0)),"-999"),J193=IFERROR(INDEX(Fixture!$J$5:$J$108,MATCH(D193,Fixture!$A$5:$A$108,0)),"-999")),IFERROR(INDEX(Fases!$C$5:$C$10,MATCH(IFERROR(INDEX(Fixture!$B$5:$B$108,MATCH(D193,Fixture!$A$5:$A$108,0)),0),Fases!$A$5:$A$10,0)),0),IF(OR(AND(I193&gt;J193,IFERROR(INDEX(Fixture!$I$5:$I$108,MATCH(D193,Fixture!$A$5:$A$108,0)),0)&gt;IFERROR(INDEX(Fixture!$J$5:$J$108,MATCH(D193,Fixture!$A$5:$A$108,0)),0)),AND(I193&lt;J193,IFERROR(INDEX(Fixture!$I$5:$I$108,MATCH(D193,Fixture!$A$5:$A$108,0)),0)&lt;IFERROR(INDEX(Fixture!$J$5:$J$108,MATCH(D193,Fixture!$A$5:$A$108,0)),0)),AND(I193=J193,IFERROR(INDEX(Fixture!$I$5:$I$108,MATCH(D193,Fixture!$A$5:$A$108,0)),0)=IFERROR(INDEX(Fixture!$J$5:$J$108,MATCH(D193,Fixture!$A$5:$A$108,0)),0))),IFERROR(INDEX(Fases!$D$5:$D$10,MATCH(IFERROR(INDEX(Fixture!$B$5:$B$108,MATCH(D193,Fixture!$A$5:$A$108,0)),0),Fases!$A$5:$A$10,0)),0),0))))</f>
        <v/>
      </c>
      <c r="M193" s="12" t="str">
        <f aca="false">IFERROR(INDEX(Fixture!$K$5:$K$108,MATCH(D193,Fixture!$A$5:$A$108,0)),"")</f>
        <v>PENDIENTE</v>
      </c>
    </row>
    <row r="194" customFormat="false" ht="15" hidden="false" customHeight="false" outlineLevel="0" collapsed="false">
      <c r="A194" s="9" t="n">
        <v>190</v>
      </c>
      <c r="B194" s="9" t="n">
        <v>2</v>
      </c>
      <c r="C194" s="10" t="str">
        <f aca="false">IFERROR(INDEX(Usuarios!$C$5:$C$200,MATCH(B194,Usuarios!$A$5:$A$200,0)),"")</f>
        <v>mari23</v>
      </c>
      <c r="D194" s="9" t="n">
        <v>87</v>
      </c>
      <c r="E194" s="10" t="str">
        <f aca="false">IFERROR(INDEX(Fases!$B$5:$B$10,MATCH(INDEX(Fixture!$B$5:$B$108,MATCH(D194,Fixture!$A$5:$A$108,0)),Fases!$A$5:$A$10,0)),"")</f>
        <v>Ronda de 32</v>
      </c>
      <c r="F194" s="10" t="str">
        <f aca="false">IFERROR(INDEX(Fixture!$E$5:$E$108,MATCH(D194,Fixture!$A$5:$A$108,0)),"")</f>
        <v>A definir</v>
      </c>
      <c r="G194" s="10" t="str">
        <f aca="false">IFERROR(INDEX(Fixture!$F$5:$F$108,MATCH(D194,Fixture!$A$5:$A$108,0)),"")</f>
        <v>A definir</v>
      </c>
      <c r="H194" s="22" t="n">
        <f aca="false">IFERROR(INDEX(Fixture!$G$5:$G$108,MATCH(D194,Fixture!$A$5:$A$108,0)),"")</f>
        <v>46203.75</v>
      </c>
      <c r="I194" s="23"/>
      <c r="J194" s="23"/>
      <c r="K194" s="10" t="str">
        <f aca="false">IFERROR(INDEX(Fixture!$I$5:$I$108,MATCH(D194,Fixture!$A$5:$A$108,0))&amp;"-"&amp;INDEX(Fixture!$J$5:$J$108,MATCH(D194,Fixture!$A$5:$A$108,0)),"")</f>
        <v>-</v>
      </c>
      <c r="L194" s="9" t="str">
        <f aca="false">IF(M194&lt;&gt;"FINALIZADO","",IF(OR(ISBLANK(I194),ISBLANK(J194)),0,IF(AND(I194=IFERROR(INDEX(Fixture!$I$5:$I$108,MATCH(D194,Fixture!$A$5:$A$108,0)),"-999"),J194=IFERROR(INDEX(Fixture!$J$5:$J$108,MATCH(D194,Fixture!$A$5:$A$108,0)),"-999")),IFERROR(INDEX(Fases!$C$5:$C$10,MATCH(IFERROR(INDEX(Fixture!$B$5:$B$108,MATCH(D194,Fixture!$A$5:$A$108,0)),0),Fases!$A$5:$A$10,0)),0),IF(OR(AND(I194&gt;J194,IFERROR(INDEX(Fixture!$I$5:$I$108,MATCH(D194,Fixture!$A$5:$A$108,0)),0)&gt;IFERROR(INDEX(Fixture!$J$5:$J$108,MATCH(D194,Fixture!$A$5:$A$108,0)),0)),AND(I194&lt;J194,IFERROR(INDEX(Fixture!$I$5:$I$108,MATCH(D194,Fixture!$A$5:$A$108,0)),0)&lt;IFERROR(INDEX(Fixture!$J$5:$J$108,MATCH(D194,Fixture!$A$5:$A$108,0)),0)),AND(I194=J194,IFERROR(INDEX(Fixture!$I$5:$I$108,MATCH(D194,Fixture!$A$5:$A$108,0)),0)=IFERROR(INDEX(Fixture!$J$5:$J$108,MATCH(D194,Fixture!$A$5:$A$108,0)),0))),IFERROR(INDEX(Fases!$D$5:$D$10,MATCH(IFERROR(INDEX(Fixture!$B$5:$B$108,MATCH(D194,Fixture!$A$5:$A$108,0)),0),Fases!$A$5:$A$10,0)),0),0))))</f>
        <v/>
      </c>
      <c r="M194" s="10" t="str">
        <f aca="false">IFERROR(INDEX(Fixture!$K$5:$K$108,MATCH(D194,Fixture!$A$5:$A$108,0)),"")</f>
        <v>PENDIENTE</v>
      </c>
    </row>
    <row r="195" customFormat="false" ht="15" hidden="false" customHeight="false" outlineLevel="0" collapsed="false">
      <c r="A195" s="11" t="n">
        <v>191</v>
      </c>
      <c r="B195" s="11" t="n">
        <v>2</v>
      </c>
      <c r="C195" s="12" t="str">
        <f aca="false">IFERROR(INDEX(Usuarios!$C$5:$C$200,MATCH(B195,Usuarios!$A$5:$A$200,0)),"")</f>
        <v>mari23</v>
      </c>
      <c r="D195" s="11" t="n">
        <v>88</v>
      </c>
      <c r="E195" s="12" t="str">
        <f aca="false">IFERROR(INDEX(Fases!$B$5:$B$10,MATCH(INDEX(Fixture!$B$5:$B$108,MATCH(D195,Fixture!$A$5:$A$108,0)),Fases!$A$5:$A$10,0)),"")</f>
        <v>Ronda de 32</v>
      </c>
      <c r="F195" s="12" t="str">
        <f aca="false">IFERROR(INDEX(Fixture!$E$5:$E$108,MATCH(D195,Fixture!$A$5:$A$108,0)),"")</f>
        <v>A definir</v>
      </c>
      <c r="G195" s="12" t="str">
        <f aca="false">IFERROR(INDEX(Fixture!$F$5:$F$108,MATCH(D195,Fixture!$A$5:$A$108,0)),"")</f>
        <v>A definir</v>
      </c>
      <c r="H195" s="20" t="n">
        <f aca="false">IFERROR(INDEX(Fixture!$G$5:$G$108,MATCH(D195,Fixture!$A$5:$A$108,0)),"")</f>
        <v>46203.75</v>
      </c>
      <c r="I195" s="21"/>
      <c r="J195" s="21"/>
      <c r="K195" s="12" t="str">
        <f aca="false">IFERROR(INDEX(Fixture!$I$5:$I$108,MATCH(D195,Fixture!$A$5:$A$108,0))&amp;"-"&amp;INDEX(Fixture!$J$5:$J$108,MATCH(D195,Fixture!$A$5:$A$108,0)),"")</f>
        <v>-</v>
      </c>
      <c r="L195" s="11" t="str">
        <f aca="false">IF(M195&lt;&gt;"FINALIZADO","",IF(OR(ISBLANK(I195),ISBLANK(J195)),0,IF(AND(I195=IFERROR(INDEX(Fixture!$I$5:$I$108,MATCH(D195,Fixture!$A$5:$A$108,0)),"-999"),J195=IFERROR(INDEX(Fixture!$J$5:$J$108,MATCH(D195,Fixture!$A$5:$A$108,0)),"-999")),IFERROR(INDEX(Fases!$C$5:$C$10,MATCH(IFERROR(INDEX(Fixture!$B$5:$B$108,MATCH(D195,Fixture!$A$5:$A$108,0)),0),Fases!$A$5:$A$10,0)),0),IF(OR(AND(I195&gt;J195,IFERROR(INDEX(Fixture!$I$5:$I$108,MATCH(D195,Fixture!$A$5:$A$108,0)),0)&gt;IFERROR(INDEX(Fixture!$J$5:$J$108,MATCH(D195,Fixture!$A$5:$A$108,0)),0)),AND(I195&lt;J195,IFERROR(INDEX(Fixture!$I$5:$I$108,MATCH(D195,Fixture!$A$5:$A$108,0)),0)&lt;IFERROR(INDEX(Fixture!$J$5:$J$108,MATCH(D195,Fixture!$A$5:$A$108,0)),0)),AND(I195=J195,IFERROR(INDEX(Fixture!$I$5:$I$108,MATCH(D195,Fixture!$A$5:$A$108,0)),0)=IFERROR(INDEX(Fixture!$J$5:$J$108,MATCH(D195,Fixture!$A$5:$A$108,0)),0))),IFERROR(INDEX(Fases!$D$5:$D$10,MATCH(IFERROR(INDEX(Fixture!$B$5:$B$108,MATCH(D195,Fixture!$A$5:$A$108,0)),0),Fases!$A$5:$A$10,0)),0),0))))</f>
        <v/>
      </c>
      <c r="M195" s="12" t="str">
        <f aca="false">IFERROR(INDEX(Fixture!$K$5:$K$108,MATCH(D195,Fixture!$A$5:$A$108,0)),"")</f>
        <v>PENDIENTE</v>
      </c>
    </row>
    <row r="196" customFormat="false" ht="15" hidden="false" customHeight="false" outlineLevel="0" collapsed="false">
      <c r="A196" s="9" t="n">
        <v>192</v>
      </c>
      <c r="B196" s="9" t="n">
        <v>2</v>
      </c>
      <c r="C196" s="10" t="str">
        <f aca="false">IFERROR(INDEX(Usuarios!$C$5:$C$200,MATCH(B196,Usuarios!$A$5:$A$200,0)),"")</f>
        <v>mari23</v>
      </c>
      <c r="D196" s="9" t="n">
        <v>89</v>
      </c>
      <c r="E196" s="10" t="str">
        <f aca="false">IFERROR(INDEX(Fases!$B$5:$B$10,MATCH(INDEX(Fixture!$B$5:$B$108,MATCH(D196,Fixture!$A$5:$A$108,0)),Fases!$A$5:$A$10,0)),"")</f>
        <v>Octavos</v>
      </c>
      <c r="F196" s="10" t="str">
        <f aca="false">IFERROR(INDEX(Fixture!$E$5:$E$108,MATCH(D196,Fixture!$A$5:$A$108,0)),"")</f>
        <v>A definir</v>
      </c>
      <c r="G196" s="10" t="str">
        <f aca="false">IFERROR(INDEX(Fixture!$F$5:$F$108,MATCH(D196,Fixture!$A$5:$A$108,0)),"")</f>
        <v>A definir</v>
      </c>
      <c r="H196" s="22" t="n">
        <f aca="false">IFERROR(INDEX(Fixture!$G$5:$G$108,MATCH(D196,Fixture!$A$5:$A$108,0)),"")</f>
        <v>46206.75</v>
      </c>
      <c r="I196" s="23"/>
      <c r="J196" s="23"/>
      <c r="K196" s="10" t="str">
        <f aca="false">IFERROR(INDEX(Fixture!$I$5:$I$108,MATCH(D196,Fixture!$A$5:$A$108,0))&amp;"-"&amp;INDEX(Fixture!$J$5:$J$108,MATCH(D196,Fixture!$A$5:$A$108,0)),"")</f>
        <v>-</v>
      </c>
      <c r="L196" s="9" t="str">
        <f aca="false">IF(M196&lt;&gt;"FINALIZADO","",IF(OR(ISBLANK(I196),ISBLANK(J196)),0,IF(AND(I196=IFERROR(INDEX(Fixture!$I$5:$I$108,MATCH(D196,Fixture!$A$5:$A$108,0)),"-999"),J196=IFERROR(INDEX(Fixture!$J$5:$J$108,MATCH(D196,Fixture!$A$5:$A$108,0)),"-999")),IFERROR(INDEX(Fases!$C$5:$C$10,MATCH(IFERROR(INDEX(Fixture!$B$5:$B$108,MATCH(D196,Fixture!$A$5:$A$108,0)),0),Fases!$A$5:$A$10,0)),0),IF(OR(AND(I196&gt;J196,IFERROR(INDEX(Fixture!$I$5:$I$108,MATCH(D196,Fixture!$A$5:$A$108,0)),0)&gt;IFERROR(INDEX(Fixture!$J$5:$J$108,MATCH(D196,Fixture!$A$5:$A$108,0)),0)),AND(I196&lt;J196,IFERROR(INDEX(Fixture!$I$5:$I$108,MATCH(D196,Fixture!$A$5:$A$108,0)),0)&lt;IFERROR(INDEX(Fixture!$J$5:$J$108,MATCH(D196,Fixture!$A$5:$A$108,0)),0)),AND(I196=J196,IFERROR(INDEX(Fixture!$I$5:$I$108,MATCH(D196,Fixture!$A$5:$A$108,0)),0)=IFERROR(INDEX(Fixture!$J$5:$J$108,MATCH(D196,Fixture!$A$5:$A$108,0)),0))),IFERROR(INDEX(Fases!$D$5:$D$10,MATCH(IFERROR(INDEX(Fixture!$B$5:$B$108,MATCH(D196,Fixture!$A$5:$A$108,0)),0),Fases!$A$5:$A$10,0)),0),0))))</f>
        <v/>
      </c>
      <c r="M196" s="10" t="str">
        <f aca="false">IFERROR(INDEX(Fixture!$K$5:$K$108,MATCH(D196,Fixture!$A$5:$A$108,0)),"")</f>
        <v>PENDIENTE</v>
      </c>
    </row>
    <row r="197" customFormat="false" ht="15" hidden="false" customHeight="false" outlineLevel="0" collapsed="false">
      <c r="A197" s="11" t="n">
        <v>193</v>
      </c>
      <c r="B197" s="11" t="n">
        <v>2</v>
      </c>
      <c r="C197" s="12" t="str">
        <f aca="false">IFERROR(INDEX(Usuarios!$C$5:$C$200,MATCH(B197,Usuarios!$A$5:$A$200,0)),"")</f>
        <v>mari23</v>
      </c>
      <c r="D197" s="11" t="n">
        <v>90</v>
      </c>
      <c r="E197" s="12" t="str">
        <f aca="false">IFERROR(INDEX(Fases!$B$5:$B$10,MATCH(INDEX(Fixture!$B$5:$B$108,MATCH(D197,Fixture!$A$5:$A$108,0)),Fases!$A$5:$A$10,0)),"")</f>
        <v>Octavos</v>
      </c>
      <c r="F197" s="12" t="str">
        <f aca="false">IFERROR(INDEX(Fixture!$E$5:$E$108,MATCH(D197,Fixture!$A$5:$A$108,0)),"")</f>
        <v>A definir</v>
      </c>
      <c r="G197" s="12" t="str">
        <f aca="false">IFERROR(INDEX(Fixture!$F$5:$F$108,MATCH(D197,Fixture!$A$5:$A$108,0)),"")</f>
        <v>A definir</v>
      </c>
      <c r="H197" s="20" t="n">
        <f aca="false">IFERROR(INDEX(Fixture!$G$5:$G$108,MATCH(D197,Fixture!$A$5:$A$108,0)),"")</f>
        <v>46206.75</v>
      </c>
      <c r="I197" s="21"/>
      <c r="J197" s="21"/>
      <c r="K197" s="12" t="str">
        <f aca="false">IFERROR(INDEX(Fixture!$I$5:$I$108,MATCH(D197,Fixture!$A$5:$A$108,0))&amp;"-"&amp;INDEX(Fixture!$J$5:$J$108,MATCH(D197,Fixture!$A$5:$A$108,0)),"")</f>
        <v>-</v>
      </c>
      <c r="L197" s="11" t="str">
        <f aca="false">IF(M197&lt;&gt;"FINALIZADO","",IF(OR(ISBLANK(I197),ISBLANK(J197)),0,IF(AND(I197=IFERROR(INDEX(Fixture!$I$5:$I$108,MATCH(D197,Fixture!$A$5:$A$108,0)),"-999"),J197=IFERROR(INDEX(Fixture!$J$5:$J$108,MATCH(D197,Fixture!$A$5:$A$108,0)),"-999")),IFERROR(INDEX(Fases!$C$5:$C$10,MATCH(IFERROR(INDEX(Fixture!$B$5:$B$108,MATCH(D197,Fixture!$A$5:$A$108,0)),0),Fases!$A$5:$A$10,0)),0),IF(OR(AND(I197&gt;J197,IFERROR(INDEX(Fixture!$I$5:$I$108,MATCH(D197,Fixture!$A$5:$A$108,0)),0)&gt;IFERROR(INDEX(Fixture!$J$5:$J$108,MATCH(D197,Fixture!$A$5:$A$108,0)),0)),AND(I197&lt;J197,IFERROR(INDEX(Fixture!$I$5:$I$108,MATCH(D197,Fixture!$A$5:$A$108,0)),0)&lt;IFERROR(INDEX(Fixture!$J$5:$J$108,MATCH(D197,Fixture!$A$5:$A$108,0)),0)),AND(I197=J197,IFERROR(INDEX(Fixture!$I$5:$I$108,MATCH(D197,Fixture!$A$5:$A$108,0)),0)=IFERROR(INDEX(Fixture!$J$5:$J$108,MATCH(D197,Fixture!$A$5:$A$108,0)),0))),IFERROR(INDEX(Fases!$D$5:$D$10,MATCH(IFERROR(INDEX(Fixture!$B$5:$B$108,MATCH(D197,Fixture!$A$5:$A$108,0)),0),Fases!$A$5:$A$10,0)),0),0))))</f>
        <v/>
      </c>
      <c r="M197" s="12" t="str">
        <f aca="false">IFERROR(INDEX(Fixture!$K$5:$K$108,MATCH(D197,Fixture!$A$5:$A$108,0)),"")</f>
        <v>PENDIENTE</v>
      </c>
    </row>
    <row r="198" customFormat="false" ht="15" hidden="false" customHeight="false" outlineLevel="0" collapsed="false">
      <c r="A198" s="9" t="n">
        <v>194</v>
      </c>
      <c r="B198" s="9" t="n">
        <v>2</v>
      </c>
      <c r="C198" s="10" t="str">
        <f aca="false">IFERROR(INDEX(Usuarios!$C$5:$C$200,MATCH(B198,Usuarios!$A$5:$A$200,0)),"")</f>
        <v>mari23</v>
      </c>
      <c r="D198" s="9" t="n">
        <v>91</v>
      </c>
      <c r="E198" s="10" t="str">
        <f aca="false">IFERROR(INDEX(Fases!$B$5:$B$10,MATCH(INDEX(Fixture!$B$5:$B$108,MATCH(D198,Fixture!$A$5:$A$108,0)),Fases!$A$5:$A$10,0)),"")</f>
        <v>Octavos</v>
      </c>
      <c r="F198" s="10" t="str">
        <f aca="false">IFERROR(INDEX(Fixture!$E$5:$E$108,MATCH(D198,Fixture!$A$5:$A$108,0)),"")</f>
        <v>A definir</v>
      </c>
      <c r="G198" s="10" t="str">
        <f aca="false">IFERROR(INDEX(Fixture!$F$5:$F$108,MATCH(D198,Fixture!$A$5:$A$108,0)),"")</f>
        <v>A definir</v>
      </c>
      <c r="H198" s="22" t="n">
        <f aca="false">IFERROR(INDEX(Fixture!$G$5:$G$108,MATCH(D198,Fixture!$A$5:$A$108,0)),"")</f>
        <v>46207.75</v>
      </c>
      <c r="I198" s="23"/>
      <c r="J198" s="23"/>
      <c r="K198" s="10" t="str">
        <f aca="false">IFERROR(INDEX(Fixture!$I$5:$I$108,MATCH(D198,Fixture!$A$5:$A$108,0))&amp;"-"&amp;INDEX(Fixture!$J$5:$J$108,MATCH(D198,Fixture!$A$5:$A$108,0)),"")</f>
        <v>-</v>
      </c>
      <c r="L198" s="9" t="str">
        <f aca="false">IF(M198&lt;&gt;"FINALIZADO","",IF(OR(ISBLANK(I198),ISBLANK(J198)),0,IF(AND(I198=IFERROR(INDEX(Fixture!$I$5:$I$108,MATCH(D198,Fixture!$A$5:$A$108,0)),"-999"),J198=IFERROR(INDEX(Fixture!$J$5:$J$108,MATCH(D198,Fixture!$A$5:$A$108,0)),"-999")),IFERROR(INDEX(Fases!$C$5:$C$10,MATCH(IFERROR(INDEX(Fixture!$B$5:$B$108,MATCH(D198,Fixture!$A$5:$A$108,0)),0),Fases!$A$5:$A$10,0)),0),IF(OR(AND(I198&gt;J198,IFERROR(INDEX(Fixture!$I$5:$I$108,MATCH(D198,Fixture!$A$5:$A$108,0)),0)&gt;IFERROR(INDEX(Fixture!$J$5:$J$108,MATCH(D198,Fixture!$A$5:$A$108,0)),0)),AND(I198&lt;J198,IFERROR(INDEX(Fixture!$I$5:$I$108,MATCH(D198,Fixture!$A$5:$A$108,0)),0)&lt;IFERROR(INDEX(Fixture!$J$5:$J$108,MATCH(D198,Fixture!$A$5:$A$108,0)),0)),AND(I198=J198,IFERROR(INDEX(Fixture!$I$5:$I$108,MATCH(D198,Fixture!$A$5:$A$108,0)),0)=IFERROR(INDEX(Fixture!$J$5:$J$108,MATCH(D198,Fixture!$A$5:$A$108,0)),0))),IFERROR(INDEX(Fases!$D$5:$D$10,MATCH(IFERROR(INDEX(Fixture!$B$5:$B$108,MATCH(D198,Fixture!$A$5:$A$108,0)),0),Fases!$A$5:$A$10,0)),0),0))))</f>
        <v/>
      </c>
      <c r="M198" s="10" t="str">
        <f aca="false">IFERROR(INDEX(Fixture!$K$5:$K$108,MATCH(D198,Fixture!$A$5:$A$108,0)),"")</f>
        <v>PENDIENTE</v>
      </c>
    </row>
    <row r="199" customFormat="false" ht="15" hidden="false" customHeight="false" outlineLevel="0" collapsed="false">
      <c r="A199" s="11" t="n">
        <v>195</v>
      </c>
      <c r="B199" s="11" t="n">
        <v>2</v>
      </c>
      <c r="C199" s="12" t="str">
        <f aca="false">IFERROR(INDEX(Usuarios!$C$5:$C$200,MATCH(B199,Usuarios!$A$5:$A$200,0)),"")</f>
        <v>mari23</v>
      </c>
      <c r="D199" s="11" t="n">
        <v>92</v>
      </c>
      <c r="E199" s="12" t="str">
        <f aca="false">IFERROR(INDEX(Fases!$B$5:$B$10,MATCH(INDEX(Fixture!$B$5:$B$108,MATCH(D199,Fixture!$A$5:$A$108,0)),Fases!$A$5:$A$10,0)),"")</f>
        <v>Octavos</v>
      </c>
      <c r="F199" s="12" t="str">
        <f aca="false">IFERROR(INDEX(Fixture!$E$5:$E$108,MATCH(D199,Fixture!$A$5:$A$108,0)),"")</f>
        <v>A definir</v>
      </c>
      <c r="G199" s="12" t="str">
        <f aca="false">IFERROR(INDEX(Fixture!$F$5:$F$108,MATCH(D199,Fixture!$A$5:$A$108,0)),"")</f>
        <v>A definir</v>
      </c>
      <c r="H199" s="20" t="n">
        <f aca="false">IFERROR(INDEX(Fixture!$G$5:$G$108,MATCH(D199,Fixture!$A$5:$A$108,0)),"")</f>
        <v>46207.75</v>
      </c>
      <c r="I199" s="21"/>
      <c r="J199" s="21"/>
      <c r="K199" s="12" t="str">
        <f aca="false">IFERROR(INDEX(Fixture!$I$5:$I$108,MATCH(D199,Fixture!$A$5:$A$108,0))&amp;"-"&amp;INDEX(Fixture!$J$5:$J$108,MATCH(D199,Fixture!$A$5:$A$108,0)),"")</f>
        <v>-</v>
      </c>
      <c r="L199" s="11" t="str">
        <f aca="false">IF(M199&lt;&gt;"FINALIZADO","",IF(OR(ISBLANK(I199),ISBLANK(J199)),0,IF(AND(I199=IFERROR(INDEX(Fixture!$I$5:$I$108,MATCH(D199,Fixture!$A$5:$A$108,0)),"-999"),J199=IFERROR(INDEX(Fixture!$J$5:$J$108,MATCH(D199,Fixture!$A$5:$A$108,0)),"-999")),IFERROR(INDEX(Fases!$C$5:$C$10,MATCH(IFERROR(INDEX(Fixture!$B$5:$B$108,MATCH(D199,Fixture!$A$5:$A$108,0)),0),Fases!$A$5:$A$10,0)),0),IF(OR(AND(I199&gt;J199,IFERROR(INDEX(Fixture!$I$5:$I$108,MATCH(D199,Fixture!$A$5:$A$108,0)),0)&gt;IFERROR(INDEX(Fixture!$J$5:$J$108,MATCH(D199,Fixture!$A$5:$A$108,0)),0)),AND(I199&lt;J199,IFERROR(INDEX(Fixture!$I$5:$I$108,MATCH(D199,Fixture!$A$5:$A$108,0)),0)&lt;IFERROR(INDEX(Fixture!$J$5:$J$108,MATCH(D199,Fixture!$A$5:$A$108,0)),0)),AND(I199=J199,IFERROR(INDEX(Fixture!$I$5:$I$108,MATCH(D199,Fixture!$A$5:$A$108,0)),0)=IFERROR(INDEX(Fixture!$J$5:$J$108,MATCH(D199,Fixture!$A$5:$A$108,0)),0))),IFERROR(INDEX(Fases!$D$5:$D$10,MATCH(IFERROR(INDEX(Fixture!$B$5:$B$108,MATCH(D199,Fixture!$A$5:$A$108,0)),0),Fases!$A$5:$A$10,0)),0),0))))</f>
        <v/>
      </c>
      <c r="M199" s="12" t="str">
        <f aca="false">IFERROR(INDEX(Fixture!$K$5:$K$108,MATCH(D199,Fixture!$A$5:$A$108,0)),"")</f>
        <v>PENDIENTE</v>
      </c>
    </row>
    <row r="200" customFormat="false" ht="15" hidden="false" customHeight="false" outlineLevel="0" collapsed="false">
      <c r="A200" s="9" t="n">
        <v>196</v>
      </c>
      <c r="B200" s="9" t="n">
        <v>2</v>
      </c>
      <c r="C200" s="10" t="str">
        <f aca="false">IFERROR(INDEX(Usuarios!$C$5:$C$200,MATCH(B200,Usuarios!$A$5:$A$200,0)),"")</f>
        <v>mari23</v>
      </c>
      <c r="D200" s="9" t="n">
        <v>93</v>
      </c>
      <c r="E200" s="10" t="str">
        <f aca="false">IFERROR(INDEX(Fases!$B$5:$B$10,MATCH(INDEX(Fixture!$B$5:$B$108,MATCH(D200,Fixture!$A$5:$A$108,0)),Fases!$A$5:$A$10,0)),"")</f>
        <v>Octavos</v>
      </c>
      <c r="F200" s="10" t="str">
        <f aca="false">IFERROR(INDEX(Fixture!$E$5:$E$108,MATCH(D200,Fixture!$A$5:$A$108,0)),"")</f>
        <v>A definir</v>
      </c>
      <c r="G200" s="10" t="str">
        <f aca="false">IFERROR(INDEX(Fixture!$F$5:$F$108,MATCH(D200,Fixture!$A$5:$A$108,0)),"")</f>
        <v>A definir</v>
      </c>
      <c r="H200" s="22" t="n">
        <f aca="false">IFERROR(INDEX(Fixture!$G$5:$G$108,MATCH(D200,Fixture!$A$5:$A$108,0)),"")</f>
        <v>46208.75</v>
      </c>
      <c r="I200" s="23"/>
      <c r="J200" s="23"/>
      <c r="K200" s="10" t="str">
        <f aca="false">IFERROR(INDEX(Fixture!$I$5:$I$108,MATCH(D200,Fixture!$A$5:$A$108,0))&amp;"-"&amp;INDEX(Fixture!$J$5:$J$108,MATCH(D200,Fixture!$A$5:$A$108,0)),"")</f>
        <v>-</v>
      </c>
      <c r="L200" s="9" t="str">
        <f aca="false">IF(M200&lt;&gt;"FINALIZADO","",IF(OR(ISBLANK(I200),ISBLANK(J200)),0,IF(AND(I200=IFERROR(INDEX(Fixture!$I$5:$I$108,MATCH(D200,Fixture!$A$5:$A$108,0)),"-999"),J200=IFERROR(INDEX(Fixture!$J$5:$J$108,MATCH(D200,Fixture!$A$5:$A$108,0)),"-999")),IFERROR(INDEX(Fases!$C$5:$C$10,MATCH(IFERROR(INDEX(Fixture!$B$5:$B$108,MATCH(D200,Fixture!$A$5:$A$108,0)),0),Fases!$A$5:$A$10,0)),0),IF(OR(AND(I200&gt;J200,IFERROR(INDEX(Fixture!$I$5:$I$108,MATCH(D200,Fixture!$A$5:$A$108,0)),0)&gt;IFERROR(INDEX(Fixture!$J$5:$J$108,MATCH(D200,Fixture!$A$5:$A$108,0)),0)),AND(I200&lt;J200,IFERROR(INDEX(Fixture!$I$5:$I$108,MATCH(D200,Fixture!$A$5:$A$108,0)),0)&lt;IFERROR(INDEX(Fixture!$J$5:$J$108,MATCH(D200,Fixture!$A$5:$A$108,0)),0)),AND(I200=J200,IFERROR(INDEX(Fixture!$I$5:$I$108,MATCH(D200,Fixture!$A$5:$A$108,0)),0)=IFERROR(INDEX(Fixture!$J$5:$J$108,MATCH(D200,Fixture!$A$5:$A$108,0)),0))),IFERROR(INDEX(Fases!$D$5:$D$10,MATCH(IFERROR(INDEX(Fixture!$B$5:$B$108,MATCH(D200,Fixture!$A$5:$A$108,0)),0),Fases!$A$5:$A$10,0)),0),0))))</f>
        <v/>
      </c>
      <c r="M200" s="10" t="str">
        <f aca="false">IFERROR(INDEX(Fixture!$K$5:$K$108,MATCH(D200,Fixture!$A$5:$A$108,0)),"")</f>
        <v>PENDIENTE</v>
      </c>
    </row>
    <row r="201" customFormat="false" ht="15" hidden="false" customHeight="false" outlineLevel="0" collapsed="false">
      <c r="A201" s="11" t="n">
        <v>197</v>
      </c>
      <c r="B201" s="11" t="n">
        <v>2</v>
      </c>
      <c r="C201" s="12" t="str">
        <f aca="false">IFERROR(INDEX(Usuarios!$C$5:$C$200,MATCH(B201,Usuarios!$A$5:$A$200,0)),"")</f>
        <v>mari23</v>
      </c>
      <c r="D201" s="11" t="n">
        <v>94</v>
      </c>
      <c r="E201" s="12" t="str">
        <f aca="false">IFERROR(INDEX(Fases!$B$5:$B$10,MATCH(INDEX(Fixture!$B$5:$B$108,MATCH(D201,Fixture!$A$5:$A$108,0)),Fases!$A$5:$A$10,0)),"")</f>
        <v>Octavos</v>
      </c>
      <c r="F201" s="12" t="str">
        <f aca="false">IFERROR(INDEX(Fixture!$E$5:$E$108,MATCH(D201,Fixture!$A$5:$A$108,0)),"")</f>
        <v>A definir</v>
      </c>
      <c r="G201" s="12" t="str">
        <f aca="false">IFERROR(INDEX(Fixture!$F$5:$F$108,MATCH(D201,Fixture!$A$5:$A$108,0)),"")</f>
        <v>A definir</v>
      </c>
      <c r="H201" s="20" t="n">
        <f aca="false">IFERROR(INDEX(Fixture!$G$5:$G$108,MATCH(D201,Fixture!$A$5:$A$108,0)),"")</f>
        <v>46208.75</v>
      </c>
      <c r="I201" s="21"/>
      <c r="J201" s="21"/>
      <c r="K201" s="12" t="str">
        <f aca="false">IFERROR(INDEX(Fixture!$I$5:$I$108,MATCH(D201,Fixture!$A$5:$A$108,0))&amp;"-"&amp;INDEX(Fixture!$J$5:$J$108,MATCH(D201,Fixture!$A$5:$A$108,0)),"")</f>
        <v>-</v>
      </c>
      <c r="L201" s="11" t="str">
        <f aca="false">IF(M201&lt;&gt;"FINALIZADO","",IF(OR(ISBLANK(I201),ISBLANK(J201)),0,IF(AND(I201=IFERROR(INDEX(Fixture!$I$5:$I$108,MATCH(D201,Fixture!$A$5:$A$108,0)),"-999"),J201=IFERROR(INDEX(Fixture!$J$5:$J$108,MATCH(D201,Fixture!$A$5:$A$108,0)),"-999")),IFERROR(INDEX(Fases!$C$5:$C$10,MATCH(IFERROR(INDEX(Fixture!$B$5:$B$108,MATCH(D201,Fixture!$A$5:$A$108,0)),0),Fases!$A$5:$A$10,0)),0),IF(OR(AND(I201&gt;J201,IFERROR(INDEX(Fixture!$I$5:$I$108,MATCH(D201,Fixture!$A$5:$A$108,0)),0)&gt;IFERROR(INDEX(Fixture!$J$5:$J$108,MATCH(D201,Fixture!$A$5:$A$108,0)),0)),AND(I201&lt;J201,IFERROR(INDEX(Fixture!$I$5:$I$108,MATCH(D201,Fixture!$A$5:$A$108,0)),0)&lt;IFERROR(INDEX(Fixture!$J$5:$J$108,MATCH(D201,Fixture!$A$5:$A$108,0)),0)),AND(I201=J201,IFERROR(INDEX(Fixture!$I$5:$I$108,MATCH(D201,Fixture!$A$5:$A$108,0)),0)=IFERROR(INDEX(Fixture!$J$5:$J$108,MATCH(D201,Fixture!$A$5:$A$108,0)),0))),IFERROR(INDEX(Fases!$D$5:$D$10,MATCH(IFERROR(INDEX(Fixture!$B$5:$B$108,MATCH(D201,Fixture!$A$5:$A$108,0)),0),Fases!$A$5:$A$10,0)),0),0))))</f>
        <v/>
      </c>
      <c r="M201" s="12" t="str">
        <f aca="false">IFERROR(INDEX(Fixture!$K$5:$K$108,MATCH(D201,Fixture!$A$5:$A$108,0)),"")</f>
        <v>PENDIENTE</v>
      </c>
    </row>
    <row r="202" customFormat="false" ht="15" hidden="false" customHeight="false" outlineLevel="0" collapsed="false">
      <c r="A202" s="9" t="n">
        <v>198</v>
      </c>
      <c r="B202" s="9" t="n">
        <v>2</v>
      </c>
      <c r="C202" s="10" t="str">
        <f aca="false">IFERROR(INDEX(Usuarios!$C$5:$C$200,MATCH(B202,Usuarios!$A$5:$A$200,0)),"")</f>
        <v>mari23</v>
      </c>
      <c r="D202" s="9" t="n">
        <v>95</v>
      </c>
      <c r="E202" s="10" t="str">
        <f aca="false">IFERROR(INDEX(Fases!$B$5:$B$10,MATCH(INDEX(Fixture!$B$5:$B$108,MATCH(D202,Fixture!$A$5:$A$108,0)),Fases!$A$5:$A$10,0)),"")</f>
        <v>Octavos</v>
      </c>
      <c r="F202" s="10" t="str">
        <f aca="false">IFERROR(INDEX(Fixture!$E$5:$E$108,MATCH(D202,Fixture!$A$5:$A$108,0)),"")</f>
        <v>A definir</v>
      </c>
      <c r="G202" s="10" t="str">
        <f aca="false">IFERROR(INDEX(Fixture!$F$5:$F$108,MATCH(D202,Fixture!$A$5:$A$108,0)),"")</f>
        <v>A definir</v>
      </c>
      <c r="H202" s="22" t="n">
        <f aca="false">IFERROR(INDEX(Fixture!$G$5:$G$108,MATCH(D202,Fixture!$A$5:$A$108,0)),"")</f>
        <v>46209.75</v>
      </c>
      <c r="I202" s="23"/>
      <c r="J202" s="23"/>
      <c r="K202" s="10" t="str">
        <f aca="false">IFERROR(INDEX(Fixture!$I$5:$I$108,MATCH(D202,Fixture!$A$5:$A$108,0))&amp;"-"&amp;INDEX(Fixture!$J$5:$J$108,MATCH(D202,Fixture!$A$5:$A$108,0)),"")</f>
        <v>-</v>
      </c>
      <c r="L202" s="9" t="str">
        <f aca="false">IF(M202&lt;&gt;"FINALIZADO","",IF(OR(ISBLANK(I202),ISBLANK(J202)),0,IF(AND(I202=IFERROR(INDEX(Fixture!$I$5:$I$108,MATCH(D202,Fixture!$A$5:$A$108,0)),"-999"),J202=IFERROR(INDEX(Fixture!$J$5:$J$108,MATCH(D202,Fixture!$A$5:$A$108,0)),"-999")),IFERROR(INDEX(Fases!$C$5:$C$10,MATCH(IFERROR(INDEX(Fixture!$B$5:$B$108,MATCH(D202,Fixture!$A$5:$A$108,0)),0),Fases!$A$5:$A$10,0)),0),IF(OR(AND(I202&gt;J202,IFERROR(INDEX(Fixture!$I$5:$I$108,MATCH(D202,Fixture!$A$5:$A$108,0)),0)&gt;IFERROR(INDEX(Fixture!$J$5:$J$108,MATCH(D202,Fixture!$A$5:$A$108,0)),0)),AND(I202&lt;J202,IFERROR(INDEX(Fixture!$I$5:$I$108,MATCH(D202,Fixture!$A$5:$A$108,0)),0)&lt;IFERROR(INDEX(Fixture!$J$5:$J$108,MATCH(D202,Fixture!$A$5:$A$108,0)),0)),AND(I202=J202,IFERROR(INDEX(Fixture!$I$5:$I$108,MATCH(D202,Fixture!$A$5:$A$108,0)),0)=IFERROR(INDEX(Fixture!$J$5:$J$108,MATCH(D202,Fixture!$A$5:$A$108,0)),0))),IFERROR(INDEX(Fases!$D$5:$D$10,MATCH(IFERROR(INDEX(Fixture!$B$5:$B$108,MATCH(D202,Fixture!$A$5:$A$108,0)),0),Fases!$A$5:$A$10,0)),0),0))))</f>
        <v/>
      </c>
      <c r="M202" s="10" t="str">
        <f aca="false">IFERROR(INDEX(Fixture!$K$5:$K$108,MATCH(D202,Fixture!$A$5:$A$108,0)),"")</f>
        <v>PENDIENTE</v>
      </c>
    </row>
    <row r="203" customFormat="false" ht="15" hidden="false" customHeight="false" outlineLevel="0" collapsed="false">
      <c r="A203" s="11" t="n">
        <v>199</v>
      </c>
      <c r="B203" s="11" t="n">
        <v>2</v>
      </c>
      <c r="C203" s="12" t="str">
        <f aca="false">IFERROR(INDEX(Usuarios!$C$5:$C$200,MATCH(B203,Usuarios!$A$5:$A$200,0)),"")</f>
        <v>mari23</v>
      </c>
      <c r="D203" s="11" t="n">
        <v>96</v>
      </c>
      <c r="E203" s="12" t="str">
        <f aca="false">IFERROR(INDEX(Fases!$B$5:$B$10,MATCH(INDEX(Fixture!$B$5:$B$108,MATCH(D203,Fixture!$A$5:$A$108,0)),Fases!$A$5:$A$10,0)),"")</f>
        <v>Octavos</v>
      </c>
      <c r="F203" s="12" t="str">
        <f aca="false">IFERROR(INDEX(Fixture!$E$5:$E$108,MATCH(D203,Fixture!$A$5:$A$108,0)),"")</f>
        <v>A definir</v>
      </c>
      <c r="G203" s="12" t="str">
        <f aca="false">IFERROR(INDEX(Fixture!$F$5:$F$108,MATCH(D203,Fixture!$A$5:$A$108,0)),"")</f>
        <v>A definir</v>
      </c>
      <c r="H203" s="20" t="n">
        <f aca="false">IFERROR(INDEX(Fixture!$G$5:$G$108,MATCH(D203,Fixture!$A$5:$A$108,0)),"")</f>
        <v>46209.75</v>
      </c>
      <c r="I203" s="21"/>
      <c r="J203" s="21"/>
      <c r="K203" s="12" t="str">
        <f aca="false">IFERROR(INDEX(Fixture!$I$5:$I$108,MATCH(D203,Fixture!$A$5:$A$108,0))&amp;"-"&amp;INDEX(Fixture!$J$5:$J$108,MATCH(D203,Fixture!$A$5:$A$108,0)),"")</f>
        <v>-</v>
      </c>
      <c r="L203" s="11" t="str">
        <f aca="false">IF(M203&lt;&gt;"FINALIZADO","",IF(OR(ISBLANK(I203),ISBLANK(J203)),0,IF(AND(I203=IFERROR(INDEX(Fixture!$I$5:$I$108,MATCH(D203,Fixture!$A$5:$A$108,0)),"-999"),J203=IFERROR(INDEX(Fixture!$J$5:$J$108,MATCH(D203,Fixture!$A$5:$A$108,0)),"-999")),IFERROR(INDEX(Fases!$C$5:$C$10,MATCH(IFERROR(INDEX(Fixture!$B$5:$B$108,MATCH(D203,Fixture!$A$5:$A$108,0)),0),Fases!$A$5:$A$10,0)),0),IF(OR(AND(I203&gt;J203,IFERROR(INDEX(Fixture!$I$5:$I$108,MATCH(D203,Fixture!$A$5:$A$108,0)),0)&gt;IFERROR(INDEX(Fixture!$J$5:$J$108,MATCH(D203,Fixture!$A$5:$A$108,0)),0)),AND(I203&lt;J203,IFERROR(INDEX(Fixture!$I$5:$I$108,MATCH(D203,Fixture!$A$5:$A$108,0)),0)&lt;IFERROR(INDEX(Fixture!$J$5:$J$108,MATCH(D203,Fixture!$A$5:$A$108,0)),0)),AND(I203=J203,IFERROR(INDEX(Fixture!$I$5:$I$108,MATCH(D203,Fixture!$A$5:$A$108,0)),0)=IFERROR(INDEX(Fixture!$J$5:$J$108,MATCH(D203,Fixture!$A$5:$A$108,0)),0))),IFERROR(INDEX(Fases!$D$5:$D$10,MATCH(IFERROR(INDEX(Fixture!$B$5:$B$108,MATCH(D203,Fixture!$A$5:$A$108,0)),0),Fases!$A$5:$A$10,0)),0),0))))</f>
        <v/>
      </c>
      <c r="M203" s="12" t="str">
        <f aca="false">IFERROR(INDEX(Fixture!$K$5:$K$108,MATCH(D203,Fixture!$A$5:$A$108,0)),"")</f>
        <v>PENDIENTE</v>
      </c>
    </row>
    <row r="204" customFormat="false" ht="15" hidden="false" customHeight="false" outlineLevel="0" collapsed="false">
      <c r="A204" s="9" t="n">
        <v>200</v>
      </c>
      <c r="B204" s="9" t="n">
        <v>2</v>
      </c>
      <c r="C204" s="10" t="str">
        <f aca="false">IFERROR(INDEX(Usuarios!$C$5:$C$200,MATCH(B204,Usuarios!$A$5:$A$200,0)),"")</f>
        <v>mari23</v>
      </c>
      <c r="D204" s="9" t="n">
        <v>97</v>
      </c>
      <c r="E204" s="10" t="str">
        <f aca="false">IFERROR(INDEX(Fases!$B$5:$B$10,MATCH(INDEX(Fixture!$B$5:$B$108,MATCH(D204,Fixture!$A$5:$A$108,0)),Fases!$A$5:$A$10,0)),"")</f>
        <v>Cuartos</v>
      </c>
      <c r="F204" s="10" t="str">
        <f aca="false">IFERROR(INDEX(Fixture!$E$5:$E$108,MATCH(D204,Fixture!$A$5:$A$108,0)),"")</f>
        <v>A definir</v>
      </c>
      <c r="G204" s="10" t="str">
        <f aca="false">IFERROR(INDEX(Fixture!$F$5:$F$108,MATCH(D204,Fixture!$A$5:$A$108,0)),"")</f>
        <v>A definir</v>
      </c>
      <c r="H204" s="22" t="n">
        <f aca="false">IFERROR(INDEX(Fixture!$G$5:$G$108,MATCH(D204,Fixture!$A$5:$A$108,0)),"")</f>
        <v>46213.75</v>
      </c>
      <c r="I204" s="23"/>
      <c r="J204" s="23"/>
      <c r="K204" s="10" t="str">
        <f aca="false">IFERROR(INDEX(Fixture!$I$5:$I$108,MATCH(D204,Fixture!$A$5:$A$108,0))&amp;"-"&amp;INDEX(Fixture!$J$5:$J$108,MATCH(D204,Fixture!$A$5:$A$108,0)),"")</f>
        <v>-</v>
      </c>
      <c r="L204" s="9" t="str">
        <f aca="false">IF(M204&lt;&gt;"FINALIZADO","",IF(OR(ISBLANK(I204),ISBLANK(J204)),0,IF(AND(I204=IFERROR(INDEX(Fixture!$I$5:$I$108,MATCH(D204,Fixture!$A$5:$A$108,0)),"-999"),J204=IFERROR(INDEX(Fixture!$J$5:$J$108,MATCH(D204,Fixture!$A$5:$A$108,0)),"-999")),IFERROR(INDEX(Fases!$C$5:$C$10,MATCH(IFERROR(INDEX(Fixture!$B$5:$B$108,MATCH(D204,Fixture!$A$5:$A$108,0)),0),Fases!$A$5:$A$10,0)),0),IF(OR(AND(I204&gt;J204,IFERROR(INDEX(Fixture!$I$5:$I$108,MATCH(D204,Fixture!$A$5:$A$108,0)),0)&gt;IFERROR(INDEX(Fixture!$J$5:$J$108,MATCH(D204,Fixture!$A$5:$A$108,0)),0)),AND(I204&lt;J204,IFERROR(INDEX(Fixture!$I$5:$I$108,MATCH(D204,Fixture!$A$5:$A$108,0)),0)&lt;IFERROR(INDEX(Fixture!$J$5:$J$108,MATCH(D204,Fixture!$A$5:$A$108,0)),0)),AND(I204=J204,IFERROR(INDEX(Fixture!$I$5:$I$108,MATCH(D204,Fixture!$A$5:$A$108,0)),0)=IFERROR(INDEX(Fixture!$J$5:$J$108,MATCH(D204,Fixture!$A$5:$A$108,0)),0))),IFERROR(INDEX(Fases!$D$5:$D$10,MATCH(IFERROR(INDEX(Fixture!$B$5:$B$108,MATCH(D204,Fixture!$A$5:$A$108,0)),0),Fases!$A$5:$A$10,0)),0),0))))</f>
        <v/>
      </c>
      <c r="M204" s="10" t="str">
        <f aca="false">IFERROR(INDEX(Fixture!$K$5:$K$108,MATCH(D204,Fixture!$A$5:$A$108,0)),"")</f>
        <v>PENDIENTE</v>
      </c>
    </row>
    <row r="205" customFormat="false" ht="15" hidden="false" customHeight="false" outlineLevel="0" collapsed="false">
      <c r="A205" s="11" t="n">
        <v>201</v>
      </c>
      <c r="B205" s="11" t="n">
        <v>2</v>
      </c>
      <c r="C205" s="12" t="str">
        <f aca="false">IFERROR(INDEX(Usuarios!$C$5:$C$200,MATCH(B205,Usuarios!$A$5:$A$200,0)),"")</f>
        <v>mari23</v>
      </c>
      <c r="D205" s="11" t="n">
        <v>98</v>
      </c>
      <c r="E205" s="12" t="str">
        <f aca="false">IFERROR(INDEX(Fases!$B$5:$B$10,MATCH(INDEX(Fixture!$B$5:$B$108,MATCH(D205,Fixture!$A$5:$A$108,0)),Fases!$A$5:$A$10,0)),"")</f>
        <v>Cuartos</v>
      </c>
      <c r="F205" s="12" t="str">
        <f aca="false">IFERROR(INDEX(Fixture!$E$5:$E$108,MATCH(D205,Fixture!$A$5:$A$108,0)),"")</f>
        <v>A definir</v>
      </c>
      <c r="G205" s="12" t="str">
        <f aca="false">IFERROR(INDEX(Fixture!$F$5:$F$108,MATCH(D205,Fixture!$A$5:$A$108,0)),"")</f>
        <v>A definir</v>
      </c>
      <c r="H205" s="20" t="n">
        <f aca="false">IFERROR(INDEX(Fixture!$G$5:$G$108,MATCH(D205,Fixture!$A$5:$A$108,0)),"")</f>
        <v>46214.75</v>
      </c>
      <c r="I205" s="21"/>
      <c r="J205" s="21"/>
      <c r="K205" s="12" t="str">
        <f aca="false">IFERROR(INDEX(Fixture!$I$5:$I$108,MATCH(D205,Fixture!$A$5:$A$108,0))&amp;"-"&amp;INDEX(Fixture!$J$5:$J$108,MATCH(D205,Fixture!$A$5:$A$108,0)),"")</f>
        <v>-</v>
      </c>
      <c r="L205" s="11" t="str">
        <f aca="false">IF(M205&lt;&gt;"FINALIZADO","",IF(OR(ISBLANK(I205),ISBLANK(J205)),0,IF(AND(I205=IFERROR(INDEX(Fixture!$I$5:$I$108,MATCH(D205,Fixture!$A$5:$A$108,0)),"-999"),J205=IFERROR(INDEX(Fixture!$J$5:$J$108,MATCH(D205,Fixture!$A$5:$A$108,0)),"-999")),IFERROR(INDEX(Fases!$C$5:$C$10,MATCH(IFERROR(INDEX(Fixture!$B$5:$B$108,MATCH(D205,Fixture!$A$5:$A$108,0)),0),Fases!$A$5:$A$10,0)),0),IF(OR(AND(I205&gt;J205,IFERROR(INDEX(Fixture!$I$5:$I$108,MATCH(D205,Fixture!$A$5:$A$108,0)),0)&gt;IFERROR(INDEX(Fixture!$J$5:$J$108,MATCH(D205,Fixture!$A$5:$A$108,0)),0)),AND(I205&lt;J205,IFERROR(INDEX(Fixture!$I$5:$I$108,MATCH(D205,Fixture!$A$5:$A$108,0)),0)&lt;IFERROR(INDEX(Fixture!$J$5:$J$108,MATCH(D205,Fixture!$A$5:$A$108,0)),0)),AND(I205=J205,IFERROR(INDEX(Fixture!$I$5:$I$108,MATCH(D205,Fixture!$A$5:$A$108,0)),0)=IFERROR(INDEX(Fixture!$J$5:$J$108,MATCH(D205,Fixture!$A$5:$A$108,0)),0))),IFERROR(INDEX(Fases!$D$5:$D$10,MATCH(IFERROR(INDEX(Fixture!$B$5:$B$108,MATCH(D205,Fixture!$A$5:$A$108,0)),0),Fases!$A$5:$A$10,0)),0),0))))</f>
        <v/>
      </c>
      <c r="M205" s="12" t="str">
        <f aca="false">IFERROR(INDEX(Fixture!$K$5:$K$108,MATCH(D205,Fixture!$A$5:$A$108,0)),"")</f>
        <v>PENDIENTE</v>
      </c>
    </row>
    <row r="206" customFormat="false" ht="15" hidden="false" customHeight="false" outlineLevel="0" collapsed="false">
      <c r="A206" s="9" t="n">
        <v>202</v>
      </c>
      <c r="B206" s="9" t="n">
        <v>2</v>
      </c>
      <c r="C206" s="10" t="str">
        <f aca="false">IFERROR(INDEX(Usuarios!$C$5:$C$200,MATCH(B206,Usuarios!$A$5:$A$200,0)),"")</f>
        <v>mari23</v>
      </c>
      <c r="D206" s="9" t="n">
        <v>99</v>
      </c>
      <c r="E206" s="10" t="str">
        <f aca="false">IFERROR(INDEX(Fases!$B$5:$B$10,MATCH(INDEX(Fixture!$B$5:$B$108,MATCH(D206,Fixture!$A$5:$A$108,0)),Fases!$A$5:$A$10,0)),"")</f>
        <v>Cuartos</v>
      </c>
      <c r="F206" s="10" t="str">
        <f aca="false">IFERROR(INDEX(Fixture!$E$5:$E$108,MATCH(D206,Fixture!$A$5:$A$108,0)),"")</f>
        <v>A definir</v>
      </c>
      <c r="G206" s="10" t="str">
        <f aca="false">IFERROR(INDEX(Fixture!$F$5:$F$108,MATCH(D206,Fixture!$A$5:$A$108,0)),"")</f>
        <v>A definir</v>
      </c>
      <c r="H206" s="22" t="n">
        <f aca="false">IFERROR(INDEX(Fixture!$G$5:$G$108,MATCH(D206,Fixture!$A$5:$A$108,0)),"")</f>
        <v>46215.75</v>
      </c>
      <c r="I206" s="23"/>
      <c r="J206" s="23"/>
      <c r="K206" s="10" t="str">
        <f aca="false">IFERROR(INDEX(Fixture!$I$5:$I$108,MATCH(D206,Fixture!$A$5:$A$108,0))&amp;"-"&amp;INDEX(Fixture!$J$5:$J$108,MATCH(D206,Fixture!$A$5:$A$108,0)),"")</f>
        <v>-</v>
      </c>
      <c r="L206" s="9" t="str">
        <f aca="false">IF(M206&lt;&gt;"FINALIZADO","",IF(OR(ISBLANK(I206),ISBLANK(J206)),0,IF(AND(I206=IFERROR(INDEX(Fixture!$I$5:$I$108,MATCH(D206,Fixture!$A$5:$A$108,0)),"-999"),J206=IFERROR(INDEX(Fixture!$J$5:$J$108,MATCH(D206,Fixture!$A$5:$A$108,0)),"-999")),IFERROR(INDEX(Fases!$C$5:$C$10,MATCH(IFERROR(INDEX(Fixture!$B$5:$B$108,MATCH(D206,Fixture!$A$5:$A$108,0)),0),Fases!$A$5:$A$10,0)),0),IF(OR(AND(I206&gt;J206,IFERROR(INDEX(Fixture!$I$5:$I$108,MATCH(D206,Fixture!$A$5:$A$108,0)),0)&gt;IFERROR(INDEX(Fixture!$J$5:$J$108,MATCH(D206,Fixture!$A$5:$A$108,0)),0)),AND(I206&lt;J206,IFERROR(INDEX(Fixture!$I$5:$I$108,MATCH(D206,Fixture!$A$5:$A$108,0)),0)&lt;IFERROR(INDEX(Fixture!$J$5:$J$108,MATCH(D206,Fixture!$A$5:$A$108,0)),0)),AND(I206=J206,IFERROR(INDEX(Fixture!$I$5:$I$108,MATCH(D206,Fixture!$A$5:$A$108,0)),0)=IFERROR(INDEX(Fixture!$J$5:$J$108,MATCH(D206,Fixture!$A$5:$A$108,0)),0))),IFERROR(INDEX(Fases!$D$5:$D$10,MATCH(IFERROR(INDEX(Fixture!$B$5:$B$108,MATCH(D206,Fixture!$A$5:$A$108,0)),0),Fases!$A$5:$A$10,0)),0),0))))</f>
        <v/>
      </c>
      <c r="M206" s="10" t="str">
        <f aca="false">IFERROR(INDEX(Fixture!$K$5:$K$108,MATCH(D206,Fixture!$A$5:$A$108,0)),"")</f>
        <v>PENDIENTE</v>
      </c>
    </row>
    <row r="207" customFormat="false" ht="15" hidden="false" customHeight="false" outlineLevel="0" collapsed="false">
      <c r="A207" s="11" t="n">
        <v>203</v>
      </c>
      <c r="B207" s="11" t="n">
        <v>2</v>
      </c>
      <c r="C207" s="12" t="str">
        <f aca="false">IFERROR(INDEX(Usuarios!$C$5:$C$200,MATCH(B207,Usuarios!$A$5:$A$200,0)),"")</f>
        <v>mari23</v>
      </c>
      <c r="D207" s="11" t="n">
        <v>100</v>
      </c>
      <c r="E207" s="12" t="str">
        <f aca="false">IFERROR(INDEX(Fases!$B$5:$B$10,MATCH(INDEX(Fixture!$B$5:$B$108,MATCH(D207,Fixture!$A$5:$A$108,0)),Fases!$A$5:$A$10,0)),"")</f>
        <v>Cuartos</v>
      </c>
      <c r="F207" s="12" t="str">
        <f aca="false">IFERROR(INDEX(Fixture!$E$5:$E$108,MATCH(D207,Fixture!$A$5:$A$108,0)),"")</f>
        <v>A definir</v>
      </c>
      <c r="G207" s="12" t="str">
        <f aca="false">IFERROR(INDEX(Fixture!$F$5:$F$108,MATCH(D207,Fixture!$A$5:$A$108,0)),"")</f>
        <v>A definir</v>
      </c>
      <c r="H207" s="20" t="n">
        <f aca="false">IFERROR(INDEX(Fixture!$G$5:$G$108,MATCH(D207,Fixture!$A$5:$A$108,0)),"")</f>
        <v>46216.75</v>
      </c>
      <c r="I207" s="21"/>
      <c r="J207" s="21"/>
      <c r="K207" s="12" t="str">
        <f aca="false">IFERROR(INDEX(Fixture!$I$5:$I$108,MATCH(D207,Fixture!$A$5:$A$108,0))&amp;"-"&amp;INDEX(Fixture!$J$5:$J$108,MATCH(D207,Fixture!$A$5:$A$108,0)),"")</f>
        <v>-</v>
      </c>
      <c r="L207" s="11" t="str">
        <f aca="false">IF(M207&lt;&gt;"FINALIZADO","",IF(OR(ISBLANK(I207),ISBLANK(J207)),0,IF(AND(I207=IFERROR(INDEX(Fixture!$I$5:$I$108,MATCH(D207,Fixture!$A$5:$A$108,0)),"-999"),J207=IFERROR(INDEX(Fixture!$J$5:$J$108,MATCH(D207,Fixture!$A$5:$A$108,0)),"-999")),IFERROR(INDEX(Fases!$C$5:$C$10,MATCH(IFERROR(INDEX(Fixture!$B$5:$B$108,MATCH(D207,Fixture!$A$5:$A$108,0)),0),Fases!$A$5:$A$10,0)),0),IF(OR(AND(I207&gt;J207,IFERROR(INDEX(Fixture!$I$5:$I$108,MATCH(D207,Fixture!$A$5:$A$108,0)),0)&gt;IFERROR(INDEX(Fixture!$J$5:$J$108,MATCH(D207,Fixture!$A$5:$A$108,0)),0)),AND(I207&lt;J207,IFERROR(INDEX(Fixture!$I$5:$I$108,MATCH(D207,Fixture!$A$5:$A$108,0)),0)&lt;IFERROR(INDEX(Fixture!$J$5:$J$108,MATCH(D207,Fixture!$A$5:$A$108,0)),0)),AND(I207=J207,IFERROR(INDEX(Fixture!$I$5:$I$108,MATCH(D207,Fixture!$A$5:$A$108,0)),0)=IFERROR(INDEX(Fixture!$J$5:$J$108,MATCH(D207,Fixture!$A$5:$A$108,0)),0))),IFERROR(INDEX(Fases!$D$5:$D$10,MATCH(IFERROR(INDEX(Fixture!$B$5:$B$108,MATCH(D207,Fixture!$A$5:$A$108,0)),0),Fases!$A$5:$A$10,0)),0),0))))</f>
        <v/>
      </c>
      <c r="M207" s="12" t="str">
        <f aca="false">IFERROR(INDEX(Fixture!$K$5:$K$108,MATCH(D207,Fixture!$A$5:$A$108,0)),"")</f>
        <v>PENDIENTE</v>
      </c>
    </row>
    <row r="208" customFormat="false" ht="15" hidden="false" customHeight="false" outlineLevel="0" collapsed="false">
      <c r="A208" s="9" t="n">
        <v>204</v>
      </c>
      <c r="B208" s="9" t="n">
        <v>2</v>
      </c>
      <c r="C208" s="10" t="str">
        <f aca="false">IFERROR(INDEX(Usuarios!$C$5:$C$200,MATCH(B208,Usuarios!$A$5:$A$200,0)),"")</f>
        <v>mari23</v>
      </c>
      <c r="D208" s="9" t="n">
        <v>101</v>
      </c>
      <c r="E208" s="10" t="str">
        <f aca="false">IFERROR(INDEX(Fases!$B$5:$B$10,MATCH(INDEX(Fixture!$B$5:$B$108,MATCH(D208,Fixture!$A$5:$A$108,0)),Fases!$A$5:$A$10,0)),"")</f>
        <v>Semifinales</v>
      </c>
      <c r="F208" s="10" t="str">
        <f aca="false">IFERROR(INDEX(Fixture!$E$5:$E$108,MATCH(D208,Fixture!$A$5:$A$108,0)),"")</f>
        <v>A definir</v>
      </c>
      <c r="G208" s="10" t="str">
        <f aca="false">IFERROR(INDEX(Fixture!$F$5:$F$108,MATCH(D208,Fixture!$A$5:$A$108,0)),"")</f>
        <v>A definir</v>
      </c>
      <c r="H208" s="22" t="n">
        <f aca="false">IFERROR(INDEX(Fixture!$G$5:$G$108,MATCH(D208,Fixture!$A$5:$A$108,0)),"")</f>
        <v>46217.7916666667</v>
      </c>
      <c r="I208" s="23"/>
      <c r="J208" s="23"/>
      <c r="K208" s="10" t="str">
        <f aca="false">IFERROR(INDEX(Fixture!$I$5:$I$108,MATCH(D208,Fixture!$A$5:$A$108,0))&amp;"-"&amp;INDEX(Fixture!$J$5:$J$108,MATCH(D208,Fixture!$A$5:$A$108,0)),"")</f>
        <v>-</v>
      </c>
      <c r="L208" s="9" t="str">
        <f aca="false">IF(M208&lt;&gt;"FINALIZADO","",IF(OR(ISBLANK(I208),ISBLANK(J208)),0,IF(AND(I208=IFERROR(INDEX(Fixture!$I$5:$I$108,MATCH(D208,Fixture!$A$5:$A$108,0)),"-999"),J208=IFERROR(INDEX(Fixture!$J$5:$J$108,MATCH(D208,Fixture!$A$5:$A$108,0)),"-999")),IFERROR(INDEX(Fases!$C$5:$C$10,MATCH(IFERROR(INDEX(Fixture!$B$5:$B$108,MATCH(D208,Fixture!$A$5:$A$108,0)),0),Fases!$A$5:$A$10,0)),0),IF(OR(AND(I208&gt;J208,IFERROR(INDEX(Fixture!$I$5:$I$108,MATCH(D208,Fixture!$A$5:$A$108,0)),0)&gt;IFERROR(INDEX(Fixture!$J$5:$J$108,MATCH(D208,Fixture!$A$5:$A$108,0)),0)),AND(I208&lt;J208,IFERROR(INDEX(Fixture!$I$5:$I$108,MATCH(D208,Fixture!$A$5:$A$108,0)),0)&lt;IFERROR(INDEX(Fixture!$J$5:$J$108,MATCH(D208,Fixture!$A$5:$A$108,0)),0)),AND(I208=J208,IFERROR(INDEX(Fixture!$I$5:$I$108,MATCH(D208,Fixture!$A$5:$A$108,0)),0)=IFERROR(INDEX(Fixture!$J$5:$J$108,MATCH(D208,Fixture!$A$5:$A$108,0)),0))),IFERROR(INDEX(Fases!$D$5:$D$10,MATCH(IFERROR(INDEX(Fixture!$B$5:$B$108,MATCH(D208,Fixture!$A$5:$A$108,0)),0),Fases!$A$5:$A$10,0)),0),0))))</f>
        <v/>
      </c>
      <c r="M208" s="10" t="str">
        <f aca="false">IFERROR(INDEX(Fixture!$K$5:$K$108,MATCH(D208,Fixture!$A$5:$A$108,0)),"")</f>
        <v>PENDIENTE</v>
      </c>
    </row>
    <row r="209" customFormat="false" ht="15" hidden="false" customHeight="false" outlineLevel="0" collapsed="false">
      <c r="A209" s="11" t="n">
        <v>205</v>
      </c>
      <c r="B209" s="11" t="n">
        <v>2</v>
      </c>
      <c r="C209" s="12" t="str">
        <f aca="false">IFERROR(INDEX(Usuarios!$C$5:$C$200,MATCH(B209,Usuarios!$A$5:$A$200,0)),"")</f>
        <v>mari23</v>
      </c>
      <c r="D209" s="11" t="n">
        <v>102</v>
      </c>
      <c r="E209" s="12" t="str">
        <f aca="false">IFERROR(INDEX(Fases!$B$5:$B$10,MATCH(INDEX(Fixture!$B$5:$B$108,MATCH(D209,Fixture!$A$5:$A$108,0)),Fases!$A$5:$A$10,0)),"")</f>
        <v>Semifinales</v>
      </c>
      <c r="F209" s="12" t="str">
        <f aca="false">IFERROR(INDEX(Fixture!$E$5:$E$108,MATCH(D209,Fixture!$A$5:$A$108,0)),"")</f>
        <v>A definir</v>
      </c>
      <c r="G209" s="12" t="str">
        <f aca="false">IFERROR(INDEX(Fixture!$F$5:$F$108,MATCH(D209,Fixture!$A$5:$A$108,0)),"")</f>
        <v>A definir</v>
      </c>
      <c r="H209" s="20" t="n">
        <f aca="false">IFERROR(INDEX(Fixture!$G$5:$G$108,MATCH(D209,Fixture!$A$5:$A$108,0)),"")</f>
        <v>46219.7916666667</v>
      </c>
      <c r="I209" s="21"/>
      <c r="J209" s="21"/>
      <c r="K209" s="12" t="str">
        <f aca="false">IFERROR(INDEX(Fixture!$I$5:$I$108,MATCH(D209,Fixture!$A$5:$A$108,0))&amp;"-"&amp;INDEX(Fixture!$J$5:$J$108,MATCH(D209,Fixture!$A$5:$A$108,0)),"")</f>
        <v>-</v>
      </c>
      <c r="L209" s="11" t="str">
        <f aca="false">IF(M209&lt;&gt;"FINALIZADO","",IF(OR(ISBLANK(I209),ISBLANK(J209)),0,IF(AND(I209=IFERROR(INDEX(Fixture!$I$5:$I$108,MATCH(D209,Fixture!$A$5:$A$108,0)),"-999"),J209=IFERROR(INDEX(Fixture!$J$5:$J$108,MATCH(D209,Fixture!$A$5:$A$108,0)),"-999")),IFERROR(INDEX(Fases!$C$5:$C$10,MATCH(IFERROR(INDEX(Fixture!$B$5:$B$108,MATCH(D209,Fixture!$A$5:$A$108,0)),0),Fases!$A$5:$A$10,0)),0),IF(OR(AND(I209&gt;J209,IFERROR(INDEX(Fixture!$I$5:$I$108,MATCH(D209,Fixture!$A$5:$A$108,0)),0)&gt;IFERROR(INDEX(Fixture!$J$5:$J$108,MATCH(D209,Fixture!$A$5:$A$108,0)),0)),AND(I209&lt;J209,IFERROR(INDEX(Fixture!$I$5:$I$108,MATCH(D209,Fixture!$A$5:$A$108,0)),0)&lt;IFERROR(INDEX(Fixture!$J$5:$J$108,MATCH(D209,Fixture!$A$5:$A$108,0)),0)),AND(I209=J209,IFERROR(INDEX(Fixture!$I$5:$I$108,MATCH(D209,Fixture!$A$5:$A$108,0)),0)=IFERROR(INDEX(Fixture!$J$5:$J$108,MATCH(D209,Fixture!$A$5:$A$108,0)),0))),IFERROR(INDEX(Fases!$D$5:$D$10,MATCH(IFERROR(INDEX(Fixture!$B$5:$B$108,MATCH(D209,Fixture!$A$5:$A$108,0)),0),Fases!$A$5:$A$10,0)),0),0))))</f>
        <v/>
      </c>
      <c r="M209" s="12" t="str">
        <f aca="false">IFERROR(INDEX(Fixture!$K$5:$K$108,MATCH(D209,Fixture!$A$5:$A$108,0)),"")</f>
        <v>PENDIENTE</v>
      </c>
    </row>
    <row r="210" customFormat="false" ht="15" hidden="false" customHeight="false" outlineLevel="0" collapsed="false">
      <c r="A210" s="9" t="n">
        <v>206</v>
      </c>
      <c r="B210" s="9" t="n">
        <v>2</v>
      </c>
      <c r="C210" s="10" t="str">
        <f aca="false">IFERROR(INDEX(Usuarios!$C$5:$C$200,MATCH(B210,Usuarios!$A$5:$A$200,0)),"")</f>
        <v>mari23</v>
      </c>
      <c r="D210" s="9" t="n">
        <v>103</v>
      </c>
      <c r="E210" s="10" t="str">
        <f aca="false">IFERROR(INDEX(Fases!$B$5:$B$10,MATCH(INDEX(Fixture!$B$5:$B$108,MATCH(D210,Fixture!$A$5:$A$108,0)),Fases!$A$5:$A$10,0)),"")</f>
        <v>Final</v>
      </c>
      <c r="F210" s="10" t="str">
        <f aca="false">IFERROR(INDEX(Fixture!$E$5:$E$108,MATCH(D210,Fixture!$A$5:$A$108,0)),"")</f>
        <v>A definir</v>
      </c>
      <c r="G210" s="10" t="str">
        <f aca="false">IFERROR(INDEX(Fixture!$F$5:$F$108,MATCH(D210,Fixture!$A$5:$A$108,0)),"")</f>
        <v>A definir</v>
      </c>
      <c r="H210" s="22" t="n">
        <f aca="false">IFERROR(INDEX(Fixture!$G$5:$G$108,MATCH(D210,Fixture!$A$5:$A$108,0)),"")</f>
        <v>46222.7916666667</v>
      </c>
      <c r="I210" s="23"/>
      <c r="J210" s="23"/>
      <c r="K210" s="10" t="str">
        <f aca="false">IFERROR(INDEX(Fixture!$I$5:$I$108,MATCH(D210,Fixture!$A$5:$A$108,0))&amp;"-"&amp;INDEX(Fixture!$J$5:$J$108,MATCH(D210,Fixture!$A$5:$A$108,0)),"")</f>
        <v>-</v>
      </c>
      <c r="L210" s="9" t="str">
        <f aca="false">IF(M210&lt;&gt;"FINALIZADO","",IF(OR(ISBLANK(I210),ISBLANK(J210)),0,IF(AND(I210=IFERROR(INDEX(Fixture!$I$5:$I$108,MATCH(D210,Fixture!$A$5:$A$108,0)),"-999"),J210=IFERROR(INDEX(Fixture!$J$5:$J$108,MATCH(D210,Fixture!$A$5:$A$108,0)),"-999")),IFERROR(INDEX(Fases!$C$5:$C$10,MATCH(IFERROR(INDEX(Fixture!$B$5:$B$108,MATCH(D210,Fixture!$A$5:$A$108,0)),0),Fases!$A$5:$A$10,0)),0),IF(OR(AND(I210&gt;J210,IFERROR(INDEX(Fixture!$I$5:$I$108,MATCH(D210,Fixture!$A$5:$A$108,0)),0)&gt;IFERROR(INDEX(Fixture!$J$5:$J$108,MATCH(D210,Fixture!$A$5:$A$108,0)),0)),AND(I210&lt;J210,IFERROR(INDEX(Fixture!$I$5:$I$108,MATCH(D210,Fixture!$A$5:$A$108,0)),0)&lt;IFERROR(INDEX(Fixture!$J$5:$J$108,MATCH(D210,Fixture!$A$5:$A$108,0)),0)),AND(I210=J210,IFERROR(INDEX(Fixture!$I$5:$I$108,MATCH(D210,Fixture!$A$5:$A$108,0)),0)=IFERROR(INDEX(Fixture!$J$5:$J$108,MATCH(D210,Fixture!$A$5:$A$108,0)),0))),IFERROR(INDEX(Fases!$D$5:$D$10,MATCH(IFERROR(INDEX(Fixture!$B$5:$B$108,MATCH(D210,Fixture!$A$5:$A$108,0)),0),Fases!$A$5:$A$10,0)),0),0))))</f>
        <v/>
      </c>
      <c r="M210" s="10" t="str">
        <f aca="false">IFERROR(INDEX(Fixture!$K$5:$K$108,MATCH(D210,Fixture!$A$5:$A$108,0)),"")</f>
        <v>PENDIENTE</v>
      </c>
    </row>
    <row r="211" customFormat="false" ht="15" hidden="false" customHeight="false" outlineLevel="0" collapsed="false">
      <c r="A211" s="11" t="n">
        <v>207</v>
      </c>
      <c r="B211" s="11" t="n">
        <v>3</v>
      </c>
      <c r="C211" s="12" t="str">
        <f aca="false">IFERROR(INDEX(Usuarios!$C$5:$C$200,MATCH(B211,Usuarios!$A$5:$A$200,0)),"")</f>
        <v>juanpe</v>
      </c>
      <c r="D211" s="11" t="n">
        <v>1</v>
      </c>
      <c r="E211" s="12" t="str">
        <f aca="false">IFERROR(INDEX(Fases!$B$5:$B$10,MATCH(INDEX(Fixture!$B$5:$B$108,MATCH(D211,Fixture!$A$5:$A$108,0)),Fases!$A$5:$A$10,0)),"")</f>
        <v>Grupos</v>
      </c>
      <c r="F211" s="12" t="str">
        <f aca="false">IFERROR(INDEX(Fixture!$E$5:$E$108,MATCH(D211,Fixture!$A$5:$A$108,0)),"")</f>
        <v>Argentina</v>
      </c>
      <c r="G211" s="12" t="str">
        <f aca="false">IFERROR(INDEX(Fixture!$F$5:$F$108,MATCH(D211,Fixture!$A$5:$A$108,0)),"")</f>
        <v>Bolivia</v>
      </c>
      <c r="H211" s="20" t="n">
        <f aca="false">IFERROR(INDEX(Fixture!$G$5:$G$108,MATCH(D211,Fixture!$A$5:$A$108,0)),"")</f>
        <v>46184.625</v>
      </c>
      <c r="I211" s="21"/>
      <c r="J211" s="21"/>
      <c r="K211" s="12" t="str">
        <f aca="false">IFERROR(INDEX(Fixture!$I$5:$I$108,MATCH(D211,Fixture!$A$5:$A$108,0))&amp;"-"&amp;INDEX(Fixture!$J$5:$J$108,MATCH(D211,Fixture!$A$5:$A$108,0)),"")</f>
        <v>-</v>
      </c>
      <c r="L211" s="11" t="str">
        <f aca="false">IF(M211&lt;&gt;"FINALIZADO","",IF(OR(ISBLANK(I211),ISBLANK(J211)),0,IF(AND(I211=IFERROR(INDEX(Fixture!$I$5:$I$108,MATCH(D211,Fixture!$A$5:$A$108,0)),"-999"),J211=IFERROR(INDEX(Fixture!$J$5:$J$108,MATCH(D211,Fixture!$A$5:$A$108,0)),"-999")),IFERROR(INDEX(Fases!$C$5:$C$10,MATCH(IFERROR(INDEX(Fixture!$B$5:$B$108,MATCH(D211,Fixture!$A$5:$A$108,0)),0),Fases!$A$5:$A$10,0)),0),IF(OR(AND(I211&gt;J211,IFERROR(INDEX(Fixture!$I$5:$I$108,MATCH(D211,Fixture!$A$5:$A$108,0)),0)&gt;IFERROR(INDEX(Fixture!$J$5:$J$108,MATCH(D211,Fixture!$A$5:$A$108,0)),0)),AND(I211&lt;J211,IFERROR(INDEX(Fixture!$I$5:$I$108,MATCH(D211,Fixture!$A$5:$A$108,0)),0)&lt;IFERROR(INDEX(Fixture!$J$5:$J$108,MATCH(D211,Fixture!$A$5:$A$108,0)),0)),AND(I211=J211,IFERROR(INDEX(Fixture!$I$5:$I$108,MATCH(D211,Fixture!$A$5:$A$108,0)),0)=IFERROR(INDEX(Fixture!$J$5:$J$108,MATCH(D211,Fixture!$A$5:$A$108,0)),0))),IFERROR(INDEX(Fases!$D$5:$D$10,MATCH(IFERROR(INDEX(Fixture!$B$5:$B$108,MATCH(D211,Fixture!$A$5:$A$108,0)),0),Fases!$A$5:$A$10,0)),0),0))))</f>
        <v/>
      </c>
      <c r="M211" s="12" t="str">
        <f aca="false">IFERROR(INDEX(Fixture!$K$5:$K$108,MATCH(D211,Fixture!$A$5:$A$108,0)),"")</f>
        <v>PENDIENTE</v>
      </c>
    </row>
    <row r="212" customFormat="false" ht="15" hidden="false" customHeight="false" outlineLevel="0" collapsed="false">
      <c r="A212" s="9" t="n">
        <v>208</v>
      </c>
      <c r="B212" s="9" t="n">
        <v>3</v>
      </c>
      <c r="C212" s="10" t="str">
        <f aca="false">IFERROR(INDEX(Usuarios!$C$5:$C$200,MATCH(B212,Usuarios!$A$5:$A$200,0)),"")</f>
        <v>juanpe</v>
      </c>
      <c r="D212" s="9" t="n">
        <v>2</v>
      </c>
      <c r="E212" s="10" t="str">
        <f aca="false">IFERROR(INDEX(Fases!$B$5:$B$10,MATCH(INDEX(Fixture!$B$5:$B$108,MATCH(D212,Fixture!$A$5:$A$108,0)),Fases!$A$5:$A$10,0)),"")</f>
        <v>Grupos</v>
      </c>
      <c r="F212" s="10" t="str">
        <f aca="false">IFERROR(INDEX(Fixture!$E$5:$E$108,MATCH(D212,Fixture!$A$5:$A$108,0)),"")</f>
        <v>Argentina</v>
      </c>
      <c r="G212" s="10" t="str">
        <f aca="false">IFERROR(INDEX(Fixture!$F$5:$F$108,MATCH(D212,Fixture!$A$5:$A$108,0)),"")</f>
        <v>Ecuador</v>
      </c>
      <c r="H212" s="22" t="n">
        <f aca="false">IFERROR(INDEX(Fixture!$G$5:$G$108,MATCH(D212,Fixture!$A$5:$A$108,0)),"")</f>
        <v>46184.75</v>
      </c>
      <c r="I212" s="23"/>
      <c r="J212" s="23"/>
      <c r="K212" s="10" t="str">
        <f aca="false">IFERROR(INDEX(Fixture!$I$5:$I$108,MATCH(D212,Fixture!$A$5:$A$108,0))&amp;"-"&amp;INDEX(Fixture!$J$5:$J$108,MATCH(D212,Fixture!$A$5:$A$108,0)),"")</f>
        <v>-</v>
      </c>
      <c r="L212" s="9" t="str">
        <f aca="false">IF(M212&lt;&gt;"FINALIZADO","",IF(OR(ISBLANK(I212),ISBLANK(J212)),0,IF(AND(I212=IFERROR(INDEX(Fixture!$I$5:$I$108,MATCH(D212,Fixture!$A$5:$A$108,0)),"-999"),J212=IFERROR(INDEX(Fixture!$J$5:$J$108,MATCH(D212,Fixture!$A$5:$A$108,0)),"-999")),IFERROR(INDEX(Fases!$C$5:$C$10,MATCH(IFERROR(INDEX(Fixture!$B$5:$B$108,MATCH(D212,Fixture!$A$5:$A$108,0)),0),Fases!$A$5:$A$10,0)),0),IF(OR(AND(I212&gt;J212,IFERROR(INDEX(Fixture!$I$5:$I$108,MATCH(D212,Fixture!$A$5:$A$108,0)),0)&gt;IFERROR(INDEX(Fixture!$J$5:$J$108,MATCH(D212,Fixture!$A$5:$A$108,0)),0)),AND(I212&lt;J212,IFERROR(INDEX(Fixture!$I$5:$I$108,MATCH(D212,Fixture!$A$5:$A$108,0)),0)&lt;IFERROR(INDEX(Fixture!$J$5:$J$108,MATCH(D212,Fixture!$A$5:$A$108,0)),0)),AND(I212=J212,IFERROR(INDEX(Fixture!$I$5:$I$108,MATCH(D212,Fixture!$A$5:$A$108,0)),0)=IFERROR(INDEX(Fixture!$J$5:$J$108,MATCH(D212,Fixture!$A$5:$A$108,0)),0))),IFERROR(INDEX(Fases!$D$5:$D$10,MATCH(IFERROR(INDEX(Fixture!$B$5:$B$108,MATCH(D212,Fixture!$A$5:$A$108,0)),0),Fases!$A$5:$A$10,0)),0),0))))</f>
        <v/>
      </c>
      <c r="M212" s="10" t="str">
        <f aca="false">IFERROR(INDEX(Fixture!$K$5:$K$108,MATCH(D212,Fixture!$A$5:$A$108,0)),"")</f>
        <v>PENDIENTE</v>
      </c>
    </row>
    <row r="213" customFormat="false" ht="15" hidden="false" customHeight="false" outlineLevel="0" collapsed="false">
      <c r="A213" s="11" t="n">
        <v>209</v>
      </c>
      <c r="B213" s="11" t="n">
        <v>3</v>
      </c>
      <c r="C213" s="12" t="str">
        <f aca="false">IFERROR(INDEX(Usuarios!$C$5:$C$200,MATCH(B213,Usuarios!$A$5:$A$200,0)),"")</f>
        <v>juanpe</v>
      </c>
      <c r="D213" s="11" t="n">
        <v>3</v>
      </c>
      <c r="E213" s="12" t="str">
        <f aca="false">IFERROR(INDEX(Fases!$B$5:$B$10,MATCH(INDEX(Fixture!$B$5:$B$108,MATCH(D213,Fixture!$A$5:$A$108,0)),Fases!$A$5:$A$10,0)),"")</f>
        <v>Grupos</v>
      </c>
      <c r="F213" s="12" t="str">
        <f aca="false">IFERROR(INDEX(Fixture!$E$5:$E$108,MATCH(D213,Fixture!$A$5:$A$108,0)),"")</f>
        <v>Argentina</v>
      </c>
      <c r="G213" s="12" t="str">
        <f aca="false">IFERROR(INDEX(Fixture!$F$5:$F$108,MATCH(D213,Fixture!$A$5:$A$108,0)),"")</f>
        <v>Uruguay</v>
      </c>
      <c r="H213" s="20" t="n">
        <f aca="false">IFERROR(INDEX(Fixture!$G$5:$G$108,MATCH(D213,Fixture!$A$5:$A$108,0)),"")</f>
        <v>46184.875</v>
      </c>
      <c r="I213" s="21"/>
      <c r="J213" s="21"/>
      <c r="K213" s="12" t="str">
        <f aca="false">IFERROR(INDEX(Fixture!$I$5:$I$108,MATCH(D213,Fixture!$A$5:$A$108,0))&amp;"-"&amp;INDEX(Fixture!$J$5:$J$108,MATCH(D213,Fixture!$A$5:$A$108,0)),"")</f>
        <v>-</v>
      </c>
      <c r="L213" s="11" t="str">
        <f aca="false">IF(M213&lt;&gt;"FINALIZADO","",IF(OR(ISBLANK(I213),ISBLANK(J213)),0,IF(AND(I213=IFERROR(INDEX(Fixture!$I$5:$I$108,MATCH(D213,Fixture!$A$5:$A$108,0)),"-999"),J213=IFERROR(INDEX(Fixture!$J$5:$J$108,MATCH(D213,Fixture!$A$5:$A$108,0)),"-999")),IFERROR(INDEX(Fases!$C$5:$C$10,MATCH(IFERROR(INDEX(Fixture!$B$5:$B$108,MATCH(D213,Fixture!$A$5:$A$108,0)),0),Fases!$A$5:$A$10,0)),0),IF(OR(AND(I213&gt;J213,IFERROR(INDEX(Fixture!$I$5:$I$108,MATCH(D213,Fixture!$A$5:$A$108,0)),0)&gt;IFERROR(INDEX(Fixture!$J$5:$J$108,MATCH(D213,Fixture!$A$5:$A$108,0)),0)),AND(I213&lt;J213,IFERROR(INDEX(Fixture!$I$5:$I$108,MATCH(D213,Fixture!$A$5:$A$108,0)),0)&lt;IFERROR(INDEX(Fixture!$J$5:$J$108,MATCH(D213,Fixture!$A$5:$A$108,0)),0)),AND(I213=J213,IFERROR(INDEX(Fixture!$I$5:$I$108,MATCH(D213,Fixture!$A$5:$A$108,0)),0)=IFERROR(INDEX(Fixture!$J$5:$J$108,MATCH(D213,Fixture!$A$5:$A$108,0)),0))),IFERROR(INDEX(Fases!$D$5:$D$10,MATCH(IFERROR(INDEX(Fixture!$B$5:$B$108,MATCH(D213,Fixture!$A$5:$A$108,0)),0),Fases!$A$5:$A$10,0)),0),0))))</f>
        <v/>
      </c>
      <c r="M213" s="12" t="str">
        <f aca="false">IFERROR(INDEX(Fixture!$K$5:$K$108,MATCH(D213,Fixture!$A$5:$A$108,0)),"")</f>
        <v>PENDIENTE</v>
      </c>
    </row>
    <row r="214" customFormat="false" ht="15" hidden="false" customHeight="false" outlineLevel="0" collapsed="false">
      <c r="A214" s="9" t="n">
        <v>210</v>
      </c>
      <c r="B214" s="9" t="n">
        <v>3</v>
      </c>
      <c r="C214" s="10" t="str">
        <f aca="false">IFERROR(INDEX(Usuarios!$C$5:$C$200,MATCH(B214,Usuarios!$A$5:$A$200,0)),"")</f>
        <v>juanpe</v>
      </c>
      <c r="D214" s="9" t="n">
        <v>4</v>
      </c>
      <c r="E214" s="10" t="str">
        <f aca="false">IFERROR(INDEX(Fases!$B$5:$B$10,MATCH(INDEX(Fixture!$B$5:$B$108,MATCH(D214,Fixture!$A$5:$A$108,0)),Fases!$A$5:$A$10,0)),"")</f>
        <v>Grupos</v>
      </c>
      <c r="F214" s="10" t="str">
        <f aca="false">IFERROR(INDEX(Fixture!$E$5:$E$108,MATCH(D214,Fixture!$A$5:$A$108,0)),"")</f>
        <v>Bolivia</v>
      </c>
      <c r="G214" s="10" t="str">
        <f aca="false">IFERROR(INDEX(Fixture!$F$5:$F$108,MATCH(D214,Fixture!$A$5:$A$108,0)),"")</f>
        <v>Ecuador</v>
      </c>
      <c r="H214" s="22" t="n">
        <f aca="false">IFERROR(INDEX(Fixture!$G$5:$G$108,MATCH(D214,Fixture!$A$5:$A$108,0)),"")</f>
        <v>46185</v>
      </c>
      <c r="I214" s="23"/>
      <c r="J214" s="23"/>
      <c r="K214" s="10" t="str">
        <f aca="false">IFERROR(INDEX(Fixture!$I$5:$I$108,MATCH(D214,Fixture!$A$5:$A$108,0))&amp;"-"&amp;INDEX(Fixture!$J$5:$J$108,MATCH(D214,Fixture!$A$5:$A$108,0)),"")</f>
        <v>-</v>
      </c>
      <c r="L214" s="9" t="str">
        <f aca="false">IF(M214&lt;&gt;"FINALIZADO","",IF(OR(ISBLANK(I214),ISBLANK(J214)),0,IF(AND(I214=IFERROR(INDEX(Fixture!$I$5:$I$108,MATCH(D214,Fixture!$A$5:$A$108,0)),"-999"),J214=IFERROR(INDEX(Fixture!$J$5:$J$108,MATCH(D214,Fixture!$A$5:$A$108,0)),"-999")),IFERROR(INDEX(Fases!$C$5:$C$10,MATCH(IFERROR(INDEX(Fixture!$B$5:$B$108,MATCH(D214,Fixture!$A$5:$A$108,0)),0),Fases!$A$5:$A$10,0)),0),IF(OR(AND(I214&gt;J214,IFERROR(INDEX(Fixture!$I$5:$I$108,MATCH(D214,Fixture!$A$5:$A$108,0)),0)&gt;IFERROR(INDEX(Fixture!$J$5:$J$108,MATCH(D214,Fixture!$A$5:$A$108,0)),0)),AND(I214&lt;J214,IFERROR(INDEX(Fixture!$I$5:$I$108,MATCH(D214,Fixture!$A$5:$A$108,0)),0)&lt;IFERROR(INDEX(Fixture!$J$5:$J$108,MATCH(D214,Fixture!$A$5:$A$108,0)),0)),AND(I214=J214,IFERROR(INDEX(Fixture!$I$5:$I$108,MATCH(D214,Fixture!$A$5:$A$108,0)),0)=IFERROR(INDEX(Fixture!$J$5:$J$108,MATCH(D214,Fixture!$A$5:$A$108,0)),0))),IFERROR(INDEX(Fases!$D$5:$D$10,MATCH(IFERROR(INDEX(Fixture!$B$5:$B$108,MATCH(D214,Fixture!$A$5:$A$108,0)),0),Fases!$A$5:$A$10,0)),0),0))))</f>
        <v/>
      </c>
      <c r="M214" s="10" t="str">
        <f aca="false">IFERROR(INDEX(Fixture!$K$5:$K$108,MATCH(D214,Fixture!$A$5:$A$108,0)),"")</f>
        <v>PENDIENTE</v>
      </c>
    </row>
    <row r="215" customFormat="false" ht="15" hidden="false" customHeight="false" outlineLevel="0" collapsed="false">
      <c r="A215" s="11" t="n">
        <v>211</v>
      </c>
      <c r="B215" s="11" t="n">
        <v>3</v>
      </c>
      <c r="C215" s="12" t="str">
        <f aca="false">IFERROR(INDEX(Usuarios!$C$5:$C$200,MATCH(B215,Usuarios!$A$5:$A$200,0)),"")</f>
        <v>juanpe</v>
      </c>
      <c r="D215" s="11" t="n">
        <v>5</v>
      </c>
      <c r="E215" s="12" t="str">
        <f aca="false">IFERROR(INDEX(Fases!$B$5:$B$10,MATCH(INDEX(Fixture!$B$5:$B$108,MATCH(D215,Fixture!$A$5:$A$108,0)),Fases!$A$5:$A$10,0)),"")</f>
        <v>Grupos</v>
      </c>
      <c r="F215" s="12" t="str">
        <f aca="false">IFERROR(INDEX(Fixture!$E$5:$E$108,MATCH(D215,Fixture!$A$5:$A$108,0)),"")</f>
        <v>Bolivia</v>
      </c>
      <c r="G215" s="12" t="str">
        <f aca="false">IFERROR(INDEX(Fixture!$F$5:$F$108,MATCH(D215,Fixture!$A$5:$A$108,0)),"")</f>
        <v>Uruguay</v>
      </c>
      <c r="H215" s="20" t="n">
        <f aca="false">IFERROR(INDEX(Fixture!$G$5:$G$108,MATCH(D215,Fixture!$A$5:$A$108,0)),"")</f>
        <v>46185.625</v>
      </c>
      <c r="I215" s="21"/>
      <c r="J215" s="21"/>
      <c r="K215" s="12" t="str">
        <f aca="false">IFERROR(INDEX(Fixture!$I$5:$I$108,MATCH(D215,Fixture!$A$5:$A$108,0))&amp;"-"&amp;INDEX(Fixture!$J$5:$J$108,MATCH(D215,Fixture!$A$5:$A$108,0)),"")</f>
        <v>-</v>
      </c>
      <c r="L215" s="11" t="str">
        <f aca="false">IF(M215&lt;&gt;"FINALIZADO","",IF(OR(ISBLANK(I215),ISBLANK(J215)),0,IF(AND(I215=IFERROR(INDEX(Fixture!$I$5:$I$108,MATCH(D215,Fixture!$A$5:$A$108,0)),"-999"),J215=IFERROR(INDEX(Fixture!$J$5:$J$108,MATCH(D215,Fixture!$A$5:$A$108,0)),"-999")),IFERROR(INDEX(Fases!$C$5:$C$10,MATCH(IFERROR(INDEX(Fixture!$B$5:$B$108,MATCH(D215,Fixture!$A$5:$A$108,0)),0),Fases!$A$5:$A$10,0)),0),IF(OR(AND(I215&gt;J215,IFERROR(INDEX(Fixture!$I$5:$I$108,MATCH(D215,Fixture!$A$5:$A$108,0)),0)&gt;IFERROR(INDEX(Fixture!$J$5:$J$108,MATCH(D215,Fixture!$A$5:$A$108,0)),0)),AND(I215&lt;J215,IFERROR(INDEX(Fixture!$I$5:$I$108,MATCH(D215,Fixture!$A$5:$A$108,0)),0)&lt;IFERROR(INDEX(Fixture!$J$5:$J$108,MATCH(D215,Fixture!$A$5:$A$108,0)),0)),AND(I215=J215,IFERROR(INDEX(Fixture!$I$5:$I$108,MATCH(D215,Fixture!$A$5:$A$108,0)),0)=IFERROR(INDEX(Fixture!$J$5:$J$108,MATCH(D215,Fixture!$A$5:$A$108,0)),0))),IFERROR(INDEX(Fases!$D$5:$D$10,MATCH(IFERROR(INDEX(Fixture!$B$5:$B$108,MATCH(D215,Fixture!$A$5:$A$108,0)),0),Fases!$A$5:$A$10,0)),0),0))))</f>
        <v/>
      </c>
      <c r="M215" s="12" t="str">
        <f aca="false">IFERROR(INDEX(Fixture!$K$5:$K$108,MATCH(D215,Fixture!$A$5:$A$108,0)),"")</f>
        <v>PENDIENTE</v>
      </c>
    </row>
    <row r="216" customFormat="false" ht="15" hidden="false" customHeight="false" outlineLevel="0" collapsed="false">
      <c r="A216" s="9" t="n">
        <v>212</v>
      </c>
      <c r="B216" s="9" t="n">
        <v>3</v>
      </c>
      <c r="C216" s="10" t="str">
        <f aca="false">IFERROR(INDEX(Usuarios!$C$5:$C$200,MATCH(B216,Usuarios!$A$5:$A$200,0)),"")</f>
        <v>juanpe</v>
      </c>
      <c r="D216" s="9" t="n">
        <v>6</v>
      </c>
      <c r="E216" s="10" t="str">
        <f aca="false">IFERROR(INDEX(Fases!$B$5:$B$10,MATCH(INDEX(Fixture!$B$5:$B$108,MATCH(D216,Fixture!$A$5:$A$108,0)),Fases!$A$5:$A$10,0)),"")</f>
        <v>Grupos</v>
      </c>
      <c r="F216" s="10" t="str">
        <f aca="false">IFERROR(INDEX(Fixture!$E$5:$E$108,MATCH(D216,Fixture!$A$5:$A$108,0)),"")</f>
        <v>Ecuador</v>
      </c>
      <c r="G216" s="10" t="str">
        <f aca="false">IFERROR(INDEX(Fixture!$F$5:$F$108,MATCH(D216,Fixture!$A$5:$A$108,0)),"")</f>
        <v>Uruguay</v>
      </c>
      <c r="H216" s="22" t="n">
        <f aca="false">IFERROR(INDEX(Fixture!$G$5:$G$108,MATCH(D216,Fixture!$A$5:$A$108,0)),"")</f>
        <v>46185.75</v>
      </c>
      <c r="I216" s="23"/>
      <c r="J216" s="23"/>
      <c r="K216" s="10" t="str">
        <f aca="false">IFERROR(INDEX(Fixture!$I$5:$I$108,MATCH(D216,Fixture!$A$5:$A$108,0))&amp;"-"&amp;INDEX(Fixture!$J$5:$J$108,MATCH(D216,Fixture!$A$5:$A$108,0)),"")</f>
        <v>-</v>
      </c>
      <c r="L216" s="9" t="str">
        <f aca="false">IF(M216&lt;&gt;"FINALIZADO","",IF(OR(ISBLANK(I216),ISBLANK(J216)),0,IF(AND(I216=IFERROR(INDEX(Fixture!$I$5:$I$108,MATCH(D216,Fixture!$A$5:$A$108,0)),"-999"),J216=IFERROR(INDEX(Fixture!$J$5:$J$108,MATCH(D216,Fixture!$A$5:$A$108,0)),"-999")),IFERROR(INDEX(Fases!$C$5:$C$10,MATCH(IFERROR(INDEX(Fixture!$B$5:$B$108,MATCH(D216,Fixture!$A$5:$A$108,0)),0),Fases!$A$5:$A$10,0)),0),IF(OR(AND(I216&gt;J216,IFERROR(INDEX(Fixture!$I$5:$I$108,MATCH(D216,Fixture!$A$5:$A$108,0)),0)&gt;IFERROR(INDEX(Fixture!$J$5:$J$108,MATCH(D216,Fixture!$A$5:$A$108,0)),0)),AND(I216&lt;J216,IFERROR(INDEX(Fixture!$I$5:$I$108,MATCH(D216,Fixture!$A$5:$A$108,0)),0)&lt;IFERROR(INDEX(Fixture!$J$5:$J$108,MATCH(D216,Fixture!$A$5:$A$108,0)),0)),AND(I216=J216,IFERROR(INDEX(Fixture!$I$5:$I$108,MATCH(D216,Fixture!$A$5:$A$108,0)),0)=IFERROR(INDEX(Fixture!$J$5:$J$108,MATCH(D216,Fixture!$A$5:$A$108,0)),0))),IFERROR(INDEX(Fases!$D$5:$D$10,MATCH(IFERROR(INDEX(Fixture!$B$5:$B$108,MATCH(D216,Fixture!$A$5:$A$108,0)),0),Fases!$A$5:$A$10,0)),0),0))))</f>
        <v/>
      </c>
      <c r="M216" s="10" t="str">
        <f aca="false">IFERROR(INDEX(Fixture!$K$5:$K$108,MATCH(D216,Fixture!$A$5:$A$108,0)),"")</f>
        <v>PENDIENTE</v>
      </c>
    </row>
    <row r="217" customFormat="false" ht="15" hidden="false" customHeight="false" outlineLevel="0" collapsed="false">
      <c r="A217" s="11" t="n">
        <v>213</v>
      </c>
      <c r="B217" s="11" t="n">
        <v>3</v>
      </c>
      <c r="C217" s="12" t="str">
        <f aca="false">IFERROR(INDEX(Usuarios!$C$5:$C$200,MATCH(B217,Usuarios!$A$5:$A$200,0)),"")</f>
        <v>juanpe</v>
      </c>
      <c r="D217" s="11" t="n">
        <v>7</v>
      </c>
      <c r="E217" s="12" t="str">
        <f aca="false">IFERROR(INDEX(Fases!$B$5:$B$10,MATCH(INDEX(Fixture!$B$5:$B$108,MATCH(D217,Fixture!$A$5:$A$108,0)),Fases!$A$5:$A$10,0)),"")</f>
        <v>Grupos</v>
      </c>
      <c r="F217" s="12" t="str">
        <f aca="false">IFERROR(INDEX(Fixture!$E$5:$E$108,MATCH(D217,Fixture!$A$5:$A$108,0)),"")</f>
        <v>Brasil</v>
      </c>
      <c r="G217" s="12" t="str">
        <f aca="false">IFERROR(INDEX(Fixture!$F$5:$F$108,MATCH(D217,Fixture!$A$5:$A$108,0)),"")</f>
        <v>Colombia</v>
      </c>
      <c r="H217" s="20" t="n">
        <f aca="false">IFERROR(INDEX(Fixture!$G$5:$G$108,MATCH(D217,Fixture!$A$5:$A$108,0)),"")</f>
        <v>46186.625</v>
      </c>
      <c r="I217" s="21"/>
      <c r="J217" s="21"/>
      <c r="K217" s="12" t="str">
        <f aca="false">IFERROR(INDEX(Fixture!$I$5:$I$108,MATCH(D217,Fixture!$A$5:$A$108,0))&amp;"-"&amp;INDEX(Fixture!$J$5:$J$108,MATCH(D217,Fixture!$A$5:$A$108,0)),"")</f>
        <v>-</v>
      </c>
      <c r="L217" s="11" t="str">
        <f aca="false">IF(M217&lt;&gt;"FINALIZADO","",IF(OR(ISBLANK(I217),ISBLANK(J217)),0,IF(AND(I217=IFERROR(INDEX(Fixture!$I$5:$I$108,MATCH(D217,Fixture!$A$5:$A$108,0)),"-999"),J217=IFERROR(INDEX(Fixture!$J$5:$J$108,MATCH(D217,Fixture!$A$5:$A$108,0)),"-999")),IFERROR(INDEX(Fases!$C$5:$C$10,MATCH(IFERROR(INDEX(Fixture!$B$5:$B$108,MATCH(D217,Fixture!$A$5:$A$108,0)),0),Fases!$A$5:$A$10,0)),0),IF(OR(AND(I217&gt;J217,IFERROR(INDEX(Fixture!$I$5:$I$108,MATCH(D217,Fixture!$A$5:$A$108,0)),0)&gt;IFERROR(INDEX(Fixture!$J$5:$J$108,MATCH(D217,Fixture!$A$5:$A$108,0)),0)),AND(I217&lt;J217,IFERROR(INDEX(Fixture!$I$5:$I$108,MATCH(D217,Fixture!$A$5:$A$108,0)),0)&lt;IFERROR(INDEX(Fixture!$J$5:$J$108,MATCH(D217,Fixture!$A$5:$A$108,0)),0)),AND(I217=J217,IFERROR(INDEX(Fixture!$I$5:$I$108,MATCH(D217,Fixture!$A$5:$A$108,0)),0)=IFERROR(INDEX(Fixture!$J$5:$J$108,MATCH(D217,Fixture!$A$5:$A$108,0)),0))),IFERROR(INDEX(Fases!$D$5:$D$10,MATCH(IFERROR(INDEX(Fixture!$B$5:$B$108,MATCH(D217,Fixture!$A$5:$A$108,0)),0),Fases!$A$5:$A$10,0)),0),0))))</f>
        <v/>
      </c>
      <c r="M217" s="12" t="str">
        <f aca="false">IFERROR(INDEX(Fixture!$K$5:$K$108,MATCH(D217,Fixture!$A$5:$A$108,0)),"")</f>
        <v>PENDIENTE</v>
      </c>
    </row>
    <row r="218" customFormat="false" ht="15" hidden="false" customHeight="false" outlineLevel="0" collapsed="false">
      <c r="A218" s="9" t="n">
        <v>214</v>
      </c>
      <c r="B218" s="9" t="n">
        <v>3</v>
      </c>
      <c r="C218" s="10" t="str">
        <f aca="false">IFERROR(INDEX(Usuarios!$C$5:$C$200,MATCH(B218,Usuarios!$A$5:$A$200,0)),"")</f>
        <v>juanpe</v>
      </c>
      <c r="D218" s="9" t="n">
        <v>8</v>
      </c>
      <c r="E218" s="10" t="str">
        <f aca="false">IFERROR(INDEX(Fases!$B$5:$B$10,MATCH(INDEX(Fixture!$B$5:$B$108,MATCH(D218,Fixture!$A$5:$A$108,0)),Fases!$A$5:$A$10,0)),"")</f>
        <v>Grupos</v>
      </c>
      <c r="F218" s="10" t="str">
        <f aca="false">IFERROR(INDEX(Fixture!$E$5:$E$108,MATCH(D218,Fixture!$A$5:$A$108,0)),"")</f>
        <v>Brasil</v>
      </c>
      <c r="G218" s="10" t="str">
        <f aca="false">IFERROR(INDEX(Fixture!$F$5:$F$108,MATCH(D218,Fixture!$A$5:$A$108,0)),"")</f>
        <v>Venezuela</v>
      </c>
      <c r="H218" s="22" t="n">
        <f aca="false">IFERROR(INDEX(Fixture!$G$5:$G$108,MATCH(D218,Fixture!$A$5:$A$108,0)),"")</f>
        <v>46186.75</v>
      </c>
      <c r="I218" s="23"/>
      <c r="J218" s="23"/>
      <c r="K218" s="10" t="str">
        <f aca="false">IFERROR(INDEX(Fixture!$I$5:$I$108,MATCH(D218,Fixture!$A$5:$A$108,0))&amp;"-"&amp;INDEX(Fixture!$J$5:$J$108,MATCH(D218,Fixture!$A$5:$A$108,0)),"")</f>
        <v>-</v>
      </c>
      <c r="L218" s="9" t="str">
        <f aca="false">IF(M218&lt;&gt;"FINALIZADO","",IF(OR(ISBLANK(I218),ISBLANK(J218)),0,IF(AND(I218=IFERROR(INDEX(Fixture!$I$5:$I$108,MATCH(D218,Fixture!$A$5:$A$108,0)),"-999"),J218=IFERROR(INDEX(Fixture!$J$5:$J$108,MATCH(D218,Fixture!$A$5:$A$108,0)),"-999")),IFERROR(INDEX(Fases!$C$5:$C$10,MATCH(IFERROR(INDEX(Fixture!$B$5:$B$108,MATCH(D218,Fixture!$A$5:$A$108,0)),0),Fases!$A$5:$A$10,0)),0),IF(OR(AND(I218&gt;J218,IFERROR(INDEX(Fixture!$I$5:$I$108,MATCH(D218,Fixture!$A$5:$A$108,0)),0)&gt;IFERROR(INDEX(Fixture!$J$5:$J$108,MATCH(D218,Fixture!$A$5:$A$108,0)),0)),AND(I218&lt;J218,IFERROR(INDEX(Fixture!$I$5:$I$108,MATCH(D218,Fixture!$A$5:$A$108,0)),0)&lt;IFERROR(INDEX(Fixture!$J$5:$J$108,MATCH(D218,Fixture!$A$5:$A$108,0)),0)),AND(I218=J218,IFERROR(INDEX(Fixture!$I$5:$I$108,MATCH(D218,Fixture!$A$5:$A$108,0)),0)=IFERROR(INDEX(Fixture!$J$5:$J$108,MATCH(D218,Fixture!$A$5:$A$108,0)),0))),IFERROR(INDEX(Fases!$D$5:$D$10,MATCH(IFERROR(INDEX(Fixture!$B$5:$B$108,MATCH(D218,Fixture!$A$5:$A$108,0)),0),Fases!$A$5:$A$10,0)),0),0))))</f>
        <v/>
      </c>
      <c r="M218" s="10" t="str">
        <f aca="false">IFERROR(INDEX(Fixture!$K$5:$K$108,MATCH(D218,Fixture!$A$5:$A$108,0)),"")</f>
        <v>PENDIENTE</v>
      </c>
    </row>
    <row r="219" customFormat="false" ht="15" hidden="false" customHeight="false" outlineLevel="0" collapsed="false">
      <c r="A219" s="11" t="n">
        <v>215</v>
      </c>
      <c r="B219" s="11" t="n">
        <v>3</v>
      </c>
      <c r="C219" s="12" t="str">
        <f aca="false">IFERROR(INDEX(Usuarios!$C$5:$C$200,MATCH(B219,Usuarios!$A$5:$A$200,0)),"")</f>
        <v>juanpe</v>
      </c>
      <c r="D219" s="11" t="n">
        <v>9</v>
      </c>
      <c r="E219" s="12" t="str">
        <f aca="false">IFERROR(INDEX(Fases!$B$5:$B$10,MATCH(INDEX(Fixture!$B$5:$B$108,MATCH(D219,Fixture!$A$5:$A$108,0)),Fases!$A$5:$A$10,0)),"")</f>
        <v>Grupos</v>
      </c>
      <c r="F219" s="12" t="str">
        <f aca="false">IFERROR(INDEX(Fixture!$E$5:$E$108,MATCH(D219,Fixture!$A$5:$A$108,0)),"")</f>
        <v>Brasil</v>
      </c>
      <c r="G219" s="12" t="str">
        <f aca="false">IFERROR(INDEX(Fixture!$F$5:$F$108,MATCH(D219,Fixture!$A$5:$A$108,0)),"")</f>
        <v>Paraguay</v>
      </c>
      <c r="H219" s="20" t="n">
        <f aca="false">IFERROR(INDEX(Fixture!$G$5:$G$108,MATCH(D219,Fixture!$A$5:$A$108,0)),"")</f>
        <v>46186.875</v>
      </c>
      <c r="I219" s="21"/>
      <c r="J219" s="21"/>
      <c r="K219" s="12" t="str">
        <f aca="false">IFERROR(INDEX(Fixture!$I$5:$I$108,MATCH(D219,Fixture!$A$5:$A$108,0))&amp;"-"&amp;INDEX(Fixture!$J$5:$J$108,MATCH(D219,Fixture!$A$5:$A$108,0)),"")</f>
        <v>-</v>
      </c>
      <c r="L219" s="11" t="str">
        <f aca="false">IF(M219&lt;&gt;"FINALIZADO","",IF(OR(ISBLANK(I219),ISBLANK(J219)),0,IF(AND(I219=IFERROR(INDEX(Fixture!$I$5:$I$108,MATCH(D219,Fixture!$A$5:$A$108,0)),"-999"),J219=IFERROR(INDEX(Fixture!$J$5:$J$108,MATCH(D219,Fixture!$A$5:$A$108,0)),"-999")),IFERROR(INDEX(Fases!$C$5:$C$10,MATCH(IFERROR(INDEX(Fixture!$B$5:$B$108,MATCH(D219,Fixture!$A$5:$A$108,0)),0),Fases!$A$5:$A$10,0)),0),IF(OR(AND(I219&gt;J219,IFERROR(INDEX(Fixture!$I$5:$I$108,MATCH(D219,Fixture!$A$5:$A$108,0)),0)&gt;IFERROR(INDEX(Fixture!$J$5:$J$108,MATCH(D219,Fixture!$A$5:$A$108,0)),0)),AND(I219&lt;J219,IFERROR(INDEX(Fixture!$I$5:$I$108,MATCH(D219,Fixture!$A$5:$A$108,0)),0)&lt;IFERROR(INDEX(Fixture!$J$5:$J$108,MATCH(D219,Fixture!$A$5:$A$108,0)),0)),AND(I219=J219,IFERROR(INDEX(Fixture!$I$5:$I$108,MATCH(D219,Fixture!$A$5:$A$108,0)),0)=IFERROR(INDEX(Fixture!$J$5:$J$108,MATCH(D219,Fixture!$A$5:$A$108,0)),0))),IFERROR(INDEX(Fases!$D$5:$D$10,MATCH(IFERROR(INDEX(Fixture!$B$5:$B$108,MATCH(D219,Fixture!$A$5:$A$108,0)),0),Fases!$A$5:$A$10,0)),0),0))))</f>
        <v/>
      </c>
      <c r="M219" s="12" t="str">
        <f aca="false">IFERROR(INDEX(Fixture!$K$5:$K$108,MATCH(D219,Fixture!$A$5:$A$108,0)),"")</f>
        <v>PENDIENTE</v>
      </c>
    </row>
    <row r="220" customFormat="false" ht="15" hidden="false" customHeight="false" outlineLevel="0" collapsed="false">
      <c r="A220" s="9" t="n">
        <v>216</v>
      </c>
      <c r="B220" s="9" t="n">
        <v>3</v>
      </c>
      <c r="C220" s="10" t="str">
        <f aca="false">IFERROR(INDEX(Usuarios!$C$5:$C$200,MATCH(B220,Usuarios!$A$5:$A$200,0)),"")</f>
        <v>juanpe</v>
      </c>
      <c r="D220" s="9" t="n">
        <v>10</v>
      </c>
      <c r="E220" s="10" t="str">
        <f aca="false">IFERROR(INDEX(Fases!$B$5:$B$10,MATCH(INDEX(Fixture!$B$5:$B$108,MATCH(D220,Fixture!$A$5:$A$108,0)),Fases!$A$5:$A$10,0)),"")</f>
        <v>Grupos</v>
      </c>
      <c r="F220" s="10" t="str">
        <f aca="false">IFERROR(INDEX(Fixture!$E$5:$E$108,MATCH(D220,Fixture!$A$5:$A$108,0)),"")</f>
        <v>Colombia</v>
      </c>
      <c r="G220" s="10" t="str">
        <f aca="false">IFERROR(INDEX(Fixture!$F$5:$F$108,MATCH(D220,Fixture!$A$5:$A$108,0)),"")</f>
        <v>Venezuela</v>
      </c>
      <c r="H220" s="22" t="n">
        <f aca="false">IFERROR(INDEX(Fixture!$G$5:$G$108,MATCH(D220,Fixture!$A$5:$A$108,0)),"")</f>
        <v>46187</v>
      </c>
      <c r="I220" s="23"/>
      <c r="J220" s="23"/>
      <c r="K220" s="10" t="str">
        <f aca="false">IFERROR(INDEX(Fixture!$I$5:$I$108,MATCH(D220,Fixture!$A$5:$A$108,0))&amp;"-"&amp;INDEX(Fixture!$J$5:$J$108,MATCH(D220,Fixture!$A$5:$A$108,0)),"")</f>
        <v>-</v>
      </c>
      <c r="L220" s="9" t="str">
        <f aca="false">IF(M220&lt;&gt;"FINALIZADO","",IF(OR(ISBLANK(I220),ISBLANK(J220)),0,IF(AND(I220=IFERROR(INDEX(Fixture!$I$5:$I$108,MATCH(D220,Fixture!$A$5:$A$108,0)),"-999"),J220=IFERROR(INDEX(Fixture!$J$5:$J$108,MATCH(D220,Fixture!$A$5:$A$108,0)),"-999")),IFERROR(INDEX(Fases!$C$5:$C$10,MATCH(IFERROR(INDEX(Fixture!$B$5:$B$108,MATCH(D220,Fixture!$A$5:$A$108,0)),0),Fases!$A$5:$A$10,0)),0),IF(OR(AND(I220&gt;J220,IFERROR(INDEX(Fixture!$I$5:$I$108,MATCH(D220,Fixture!$A$5:$A$108,0)),0)&gt;IFERROR(INDEX(Fixture!$J$5:$J$108,MATCH(D220,Fixture!$A$5:$A$108,0)),0)),AND(I220&lt;J220,IFERROR(INDEX(Fixture!$I$5:$I$108,MATCH(D220,Fixture!$A$5:$A$108,0)),0)&lt;IFERROR(INDEX(Fixture!$J$5:$J$108,MATCH(D220,Fixture!$A$5:$A$108,0)),0)),AND(I220=J220,IFERROR(INDEX(Fixture!$I$5:$I$108,MATCH(D220,Fixture!$A$5:$A$108,0)),0)=IFERROR(INDEX(Fixture!$J$5:$J$108,MATCH(D220,Fixture!$A$5:$A$108,0)),0))),IFERROR(INDEX(Fases!$D$5:$D$10,MATCH(IFERROR(INDEX(Fixture!$B$5:$B$108,MATCH(D220,Fixture!$A$5:$A$108,0)),0),Fases!$A$5:$A$10,0)),0),0))))</f>
        <v/>
      </c>
      <c r="M220" s="10" t="str">
        <f aca="false">IFERROR(INDEX(Fixture!$K$5:$K$108,MATCH(D220,Fixture!$A$5:$A$108,0)),"")</f>
        <v>PENDIENTE</v>
      </c>
    </row>
    <row r="221" customFormat="false" ht="15" hidden="false" customHeight="false" outlineLevel="0" collapsed="false">
      <c r="A221" s="11" t="n">
        <v>217</v>
      </c>
      <c r="B221" s="11" t="n">
        <v>3</v>
      </c>
      <c r="C221" s="12" t="str">
        <f aca="false">IFERROR(INDEX(Usuarios!$C$5:$C$200,MATCH(B221,Usuarios!$A$5:$A$200,0)),"")</f>
        <v>juanpe</v>
      </c>
      <c r="D221" s="11" t="n">
        <v>11</v>
      </c>
      <c r="E221" s="12" t="str">
        <f aca="false">IFERROR(INDEX(Fases!$B$5:$B$10,MATCH(INDEX(Fixture!$B$5:$B$108,MATCH(D221,Fixture!$A$5:$A$108,0)),Fases!$A$5:$A$10,0)),"")</f>
        <v>Grupos</v>
      </c>
      <c r="F221" s="12" t="str">
        <f aca="false">IFERROR(INDEX(Fixture!$E$5:$E$108,MATCH(D221,Fixture!$A$5:$A$108,0)),"")</f>
        <v>Colombia</v>
      </c>
      <c r="G221" s="12" t="str">
        <f aca="false">IFERROR(INDEX(Fixture!$F$5:$F$108,MATCH(D221,Fixture!$A$5:$A$108,0)),"")</f>
        <v>Paraguay</v>
      </c>
      <c r="H221" s="20" t="n">
        <f aca="false">IFERROR(INDEX(Fixture!$G$5:$G$108,MATCH(D221,Fixture!$A$5:$A$108,0)),"")</f>
        <v>46187.625</v>
      </c>
      <c r="I221" s="21"/>
      <c r="J221" s="21"/>
      <c r="K221" s="12" t="str">
        <f aca="false">IFERROR(INDEX(Fixture!$I$5:$I$108,MATCH(D221,Fixture!$A$5:$A$108,0))&amp;"-"&amp;INDEX(Fixture!$J$5:$J$108,MATCH(D221,Fixture!$A$5:$A$108,0)),"")</f>
        <v>-</v>
      </c>
      <c r="L221" s="11" t="str">
        <f aca="false">IF(M221&lt;&gt;"FINALIZADO","",IF(OR(ISBLANK(I221),ISBLANK(J221)),0,IF(AND(I221=IFERROR(INDEX(Fixture!$I$5:$I$108,MATCH(D221,Fixture!$A$5:$A$108,0)),"-999"),J221=IFERROR(INDEX(Fixture!$J$5:$J$108,MATCH(D221,Fixture!$A$5:$A$108,0)),"-999")),IFERROR(INDEX(Fases!$C$5:$C$10,MATCH(IFERROR(INDEX(Fixture!$B$5:$B$108,MATCH(D221,Fixture!$A$5:$A$108,0)),0),Fases!$A$5:$A$10,0)),0),IF(OR(AND(I221&gt;J221,IFERROR(INDEX(Fixture!$I$5:$I$108,MATCH(D221,Fixture!$A$5:$A$108,0)),0)&gt;IFERROR(INDEX(Fixture!$J$5:$J$108,MATCH(D221,Fixture!$A$5:$A$108,0)),0)),AND(I221&lt;J221,IFERROR(INDEX(Fixture!$I$5:$I$108,MATCH(D221,Fixture!$A$5:$A$108,0)),0)&lt;IFERROR(INDEX(Fixture!$J$5:$J$108,MATCH(D221,Fixture!$A$5:$A$108,0)),0)),AND(I221=J221,IFERROR(INDEX(Fixture!$I$5:$I$108,MATCH(D221,Fixture!$A$5:$A$108,0)),0)=IFERROR(INDEX(Fixture!$J$5:$J$108,MATCH(D221,Fixture!$A$5:$A$108,0)),0))),IFERROR(INDEX(Fases!$D$5:$D$10,MATCH(IFERROR(INDEX(Fixture!$B$5:$B$108,MATCH(D221,Fixture!$A$5:$A$108,0)),0),Fases!$A$5:$A$10,0)),0),0))))</f>
        <v/>
      </c>
      <c r="M221" s="12" t="str">
        <f aca="false">IFERROR(INDEX(Fixture!$K$5:$K$108,MATCH(D221,Fixture!$A$5:$A$108,0)),"")</f>
        <v>PENDIENTE</v>
      </c>
    </row>
    <row r="222" customFormat="false" ht="15" hidden="false" customHeight="false" outlineLevel="0" collapsed="false">
      <c r="A222" s="9" t="n">
        <v>218</v>
      </c>
      <c r="B222" s="9" t="n">
        <v>3</v>
      </c>
      <c r="C222" s="10" t="str">
        <f aca="false">IFERROR(INDEX(Usuarios!$C$5:$C$200,MATCH(B222,Usuarios!$A$5:$A$200,0)),"")</f>
        <v>juanpe</v>
      </c>
      <c r="D222" s="9" t="n">
        <v>12</v>
      </c>
      <c r="E222" s="10" t="str">
        <f aca="false">IFERROR(INDEX(Fases!$B$5:$B$10,MATCH(INDEX(Fixture!$B$5:$B$108,MATCH(D222,Fixture!$A$5:$A$108,0)),Fases!$A$5:$A$10,0)),"")</f>
        <v>Grupos</v>
      </c>
      <c r="F222" s="10" t="str">
        <f aca="false">IFERROR(INDEX(Fixture!$E$5:$E$108,MATCH(D222,Fixture!$A$5:$A$108,0)),"")</f>
        <v>Venezuela</v>
      </c>
      <c r="G222" s="10" t="str">
        <f aca="false">IFERROR(INDEX(Fixture!$F$5:$F$108,MATCH(D222,Fixture!$A$5:$A$108,0)),"")</f>
        <v>Paraguay</v>
      </c>
      <c r="H222" s="22" t="n">
        <f aca="false">IFERROR(INDEX(Fixture!$G$5:$G$108,MATCH(D222,Fixture!$A$5:$A$108,0)),"")</f>
        <v>46187.75</v>
      </c>
      <c r="I222" s="23"/>
      <c r="J222" s="23"/>
      <c r="K222" s="10" t="str">
        <f aca="false">IFERROR(INDEX(Fixture!$I$5:$I$108,MATCH(D222,Fixture!$A$5:$A$108,0))&amp;"-"&amp;INDEX(Fixture!$J$5:$J$108,MATCH(D222,Fixture!$A$5:$A$108,0)),"")</f>
        <v>-</v>
      </c>
      <c r="L222" s="9" t="str">
        <f aca="false">IF(M222&lt;&gt;"FINALIZADO","",IF(OR(ISBLANK(I222),ISBLANK(J222)),0,IF(AND(I222=IFERROR(INDEX(Fixture!$I$5:$I$108,MATCH(D222,Fixture!$A$5:$A$108,0)),"-999"),J222=IFERROR(INDEX(Fixture!$J$5:$J$108,MATCH(D222,Fixture!$A$5:$A$108,0)),"-999")),IFERROR(INDEX(Fases!$C$5:$C$10,MATCH(IFERROR(INDEX(Fixture!$B$5:$B$108,MATCH(D222,Fixture!$A$5:$A$108,0)),0),Fases!$A$5:$A$10,0)),0),IF(OR(AND(I222&gt;J222,IFERROR(INDEX(Fixture!$I$5:$I$108,MATCH(D222,Fixture!$A$5:$A$108,0)),0)&gt;IFERROR(INDEX(Fixture!$J$5:$J$108,MATCH(D222,Fixture!$A$5:$A$108,0)),0)),AND(I222&lt;J222,IFERROR(INDEX(Fixture!$I$5:$I$108,MATCH(D222,Fixture!$A$5:$A$108,0)),0)&lt;IFERROR(INDEX(Fixture!$J$5:$J$108,MATCH(D222,Fixture!$A$5:$A$108,0)),0)),AND(I222=J222,IFERROR(INDEX(Fixture!$I$5:$I$108,MATCH(D222,Fixture!$A$5:$A$108,0)),0)=IFERROR(INDEX(Fixture!$J$5:$J$108,MATCH(D222,Fixture!$A$5:$A$108,0)),0))),IFERROR(INDEX(Fases!$D$5:$D$10,MATCH(IFERROR(INDEX(Fixture!$B$5:$B$108,MATCH(D222,Fixture!$A$5:$A$108,0)),0),Fases!$A$5:$A$10,0)),0),0))))</f>
        <v/>
      </c>
      <c r="M222" s="10" t="str">
        <f aca="false">IFERROR(INDEX(Fixture!$K$5:$K$108,MATCH(D222,Fixture!$A$5:$A$108,0)),"")</f>
        <v>PENDIENTE</v>
      </c>
    </row>
    <row r="223" customFormat="false" ht="15" hidden="false" customHeight="false" outlineLevel="0" collapsed="false">
      <c r="A223" s="11" t="n">
        <v>219</v>
      </c>
      <c r="B223" s="11" t="n">
        <v>3</v>
      </c>
      <c r="C223" s="12" t="str">
        <f aca="false">IFERROR(INDEX(Usuarios!$C$5:$C$200,MATCH(B223,Usuarios!$A$5:$A$200,0)),"")</f>
        <v>juanpe</v>
      </c>
      <c r="D223" s="11" t="n">
        <v>13</v>
      </c>
      <c r="E223" s="12" t="str">
        <f aca="false">IFERROR(INDEX(Fases!$B$5:$B$10,MATCH(INDEX(Fixture!$B$5:$B$108,MATCH(D223,Fixture!$A$5:$A$108,0)),Fases!$A$5:$A$10,0)),"")</f>
        <v>Grupos</v>
      </c>
      <c r="F223" s="12" t="str">
        <f aca="false">IFERROR(INDEX(Fixture!$E$5:$E$108,MATCH(D223,Fixture!$A$5:$A$108,0)),"")</f>
        <v>México</v>
      </c>
      <c r="G223" s="12" t="str">
        <f aca="false">IFERROR(INDEX(Fixture!$F$5:$F$108,MATCH(D223,Fixture!$A$5:$A$108,0)),"")</f>
        <v>Estados Unidos</v>
      </c>
      <c r="H223" s="20" t="n">
        <f aca="false">IFERROR(INDEX(Fixture!$G$5:$G$108,MATCH(D223,Fixture!$A$5:$A$108,0)),"")</f>
        <v>46188.625</v>
      </c>
      <c r="I223" s="21"/>
      <c r="J223" s="21"/>
      <c r="K223" s="12" t="str">
        <f aca="false">IFERROR(INDEX(Fixture!$I$5:$I$108,MATCH(D223,Fixture!$A$5:$A$108,0))&amp;"-"&amp;INDEX(Fixture!$J$5:$J$108,MATCH(D223,Fixture!$A$5:$A$108,0)),"")</f>
        <v>-</v>
      </c>
      <c r="L223" s="11" t="str">
        <f aca="false">IF(M223&lt;&gt;"FINALIZADO","",IF(OR(ISBLANK(I223),ISBLANK(J223)),0,IF(AND(I223=IFERROR(INDEX(Fixture!$I$5:$I$108,MATCH(D223,Fixture!$A$5:$A$108,0)),"-999"),J223=IFERROR(INDEX(Fixture!$J$5:$J$108,MATCH(D223,Fixture!$A$5:$A$108,0)),"-999")),IFERROR(INDEX(Fases!$C$5:$C$10,MATCH(IFERROR(INDEX(Fixture!$B$5:$B$108,MATCH(D223,Fixture!$A$5:$A$108,0)),0),Fases!$A$5:$A$10,0)),0),IF(OR(AND(I223&gt;J223,IFERROR(INDEX(Fixture!$I$5:$I$108,MATCH(D223,Fixture!$A$5:$A$108,0)),0)&gt;IFERROR(INDEX(Fixture!$J$5:$J$108,MATCH(D223,Fixture!$A$5:$A$108,0)),0)),AND(I223&lt;J223,IFERROR(INDEX(Fixture!$I$5:$I$108,MATCH(D223,Fixture!$A$5:$A$108,0)),0)&lt;IFERROR(INDEX(Fixture!$J$5:$J$108,MATCH(D223,Fixture!$A$5:$A$108,0)),0)),AND(I223=J223,IFERROR(INDEX(Fixture!$I$5:$I$108,MATCH(D223,Fixture!$A$5:$A$108,0)),0)=IFERROR(INDEX(Fixture!$J$5:$J$108,MATCH(D223,Fixture!$A$5:$A$108,0)),0))),IFERROR(INDEX(Fases!$D$5:$D$10,MATCH(IFERROR(INDEX(Fixture!$B$5:$B$108,MATCH(D223,Fixture!$A$5:$A$108,0)),0),Fases!$A$5:$A$10,0)),0),0))))</f>
        <v/>
      </c>
      <c r="M223" s="12" t="str">
        <f aca="false">IFERROR(INDEX(Fixture!$K$5:$K$108,MATCH(D223,Fixture!$A$5:$A$108,0)),"")</f>
        <v>PENDIENTE</v>
      </c>
    </row>
    <row r="224" customFormat="false" ht="15" hidden="false" customHeight="false" outlineLevel="0" collapsed="false">
      <c r="A224" s="9" t="n">
        <v>220</v>
      </c>
      <c r="B224" s="9" t="n">
        <v>3</v>
      </c>
      <c r="C224" s="10" t="str">
        <f aca="false">IFERROR(INDEX(Usuarios!$C$5:$C$200,MATCH(B224,Usuarios!$A$5:$A$200,0)),"")</f>
        <v>juanpe</v>
      </c>
      <c r="D224" s="9" t="n">
        <v>14</v>
      </c>
      <c r="E224" s="10" t="str">
        <f aca="false">IFERROR(INDEX(Fases!$B$5:$B$10,MATCH(INDEX(Fixture!$B$5:$B$108,MATCH(D224,Fixture!$A$5:$A$108,0)),Fases!$A$5:$A$10,0)),"")</f>
        <v>Grupos</v>
      </c>
      <c r="F224" s="10" t="str">
        <f aca="false">IFERROR(INDEX(Fixture!$E$5:$E$108,MATCH(D224,Fixture!$A$5:$A$108,0)),"")</f>
        <v>México</v>
      </c>
      <c r="G224" s="10" t="str">
        <f aca="false">IFERROR(INDEX(Fixture!$F$5:$F$108,MATCH(D224,Fixture!$A$5:$A$108,0)),"")</f>
        <v>Canadá</v>
      </c>
      <c r="H224" s="22" t="n">
        <f aca="false">IFERROR(INDEX(Fixture!$G$5:$G$108,MATCH(D224,Fixture!$A$5:$A$108,0)),"")</f>
        <v>46188.75</v>
      </c>
      <c r="I224" s="23"/>
      <c r="J224" s="23"/>
      <c r="K224" s="10" t="str">
        <f aca="false">IFERROR(INDEX(Fixture!$I$5:$I$108,MATCH(D224,Fixture!$A$5:$A$108,0))&amp;"-"&amp;INDEX(Fixture!$J$5:$J$108,MATCH(D224,Fixture!$A$5:$A$108,0)),"")</f>
        <v>-</v>
      </c>
      <c r="L224" s="9" t="str">
        <f aca="false">IF(M224&lt;&gt;"FINALIZADO","",IF(OR(ISBLANK(I224),ISBLANK(J224)),0,IF(AND(I224=IFERROR(INDEX(Fixture!$I$5:$I$108,MATCH(D224,Fixture!$A$5:$A$108,0)),"-999"),J224=IFERROR(INDEX(Fixture!$J$5:$J$108,MATCH(D224,Fixture!$A$5:$A$108,0)),"-999")),IFERROR(INDEX(Fases!$C$5:$C$10,MATCH(IFERROR(INDEX(Fixture!$B$5:$B$108,MATCH(D224,Fixture!$A$5:$A$108,0)),0),Fases!$A$5:$A$10,0)),0),IF(OR(AND(I224&gt;J224,IFERROR(INDEX(Fixture!$I$5:$I$108,MATCH(D224,Fixture!$A$5:$A$108,0)),0)&gt;IFERROR(INDEX(Fixture!$J$5:$J$108,MATCH(D224,Fixture!$A$5:$A$108,0)),0)),AND(I224&lt;J224,IFERROR(INDEX(Fixture!$I$5:$I$108,MATCH(D224,Fixture!$A$5:$A$108,0)),0)&lt;IFERROR(INDEX(Fixture!$J$5:$J$108,MATCH(D224,Fixture!$A$5:$A$108,0)),0)),AND(I224=J224,IFERROR(INDEX(Fixture!$I$5:$I$108,MATCH(D224,Fixture!$A$5:$A$108,0)),0)=IFERROR(INDEX(Fixture!$J$5:$J$108,MATCH(D224,Fixture!$A$5:$A$108,0)),0))),IFERROR(INDEX(Fases!$D$5:$D$10,MATCH(IFERROR(INDEX(Fixture!$B$5:$B$108,MATCH(D224,Fixture!$A$5:$A$108,0)),0),Fases!$A$5:$A$10,0)),0),0))))</f>
        <v/>
      </c>
      <c r="M224" s="10" t="str">
        <f aca="false">IFERROR(INDEX(Fixture!$K$5:$K$108,MATCH(D224,Fixture!$A$5:$A$108,0)),"")</f>
        <v>PENDIENTE</v>
      </c>
    </row>
    <row r="225" customFormat="false" ht="15" hidden="false" customHeight="false" outlineLevel="0" collapsed="false">
      <c r="A225" s="11" t="n">
        <v>221</v>
      </c>
      <c r="B225" s="11" t="n">
        <v>3</v>
      </c>
      <c r="C225" s="12" t="str">
        <f aca="false">IFERROR(INDEX(Usuarios!$C$5:$C$200,MATCH(B225,Usuarios!$A$5:$A$200,0)),"")</f>
        <v>juanpe</v>
      </c>
      <c r="D225" s="11" t="n">
        <v>15</v>
      </c>
      <c r="E225" s="12" t="str">
        <f aca="false">IFERROR(INDEX(Fases!$B$5:$B$10,MATCH(INDEX(Fixture!$B$5:$B$108,MATCH(D225,Fixture!$A$5:$A$108,0)),Fases!$A$5:$A$10,0)),"")</f>
        <v>Grupos</v>
      </c>
      <c r="F225" s="12" t="str">
        <f aca="false">IFERROR(INDEX(Fixture!$E$5:$E$108,MATCH(D225,Fixture!$A$5:$A$108,0)),"")</f>
        <v>México</v>
      </c>
      <c r="G225" s="12" t="str">
        <f aca="false">IFERROR(INDEX(Fixture!$F$5:$F$108,MATCH(D225,Fixture!$A$5:$A$108,0)),"")</f>
        <v>Costa Rica</v>
      </c>
      <c r="H225" s="20" t="n">
        <f aca="false">IFERROR(INDEX(Fixture!$G$5:$G$108,MATCH(D225,Fixture!$A$5:$A$108,0)),"")</f>
        <v>46188.875</v>
      </c>
      <c r="I225" s="21"/>
      <c r="J225" s="21"/>
      <c r="K225" s="12" t="str">
        <f aca="false">IFERROR(INDEX(Fixture!$I$5:$I$108,MATCH(D225,Fixture!$A$5:$A$108,0))&amp;"-"&amp;INDEX(Fixture!$J$5:$J$108,MATCH(D225,Fixture!$A$5:$A$108,0)),"")</f>
        <v>-</v>
      </c>
      <c r="L225" s="11" t="str">
        <f aca="false">IF(M225&lt;&gt;"FINALIZADO","",IF(OR(ISBLANK(I225),ISBLANK(J225)),0,IF(AND(I225=IFERROR(INDEX(Fixture!$I$5:$I$108,MATCH(D225,Fixture!$A$5:$A$108,0)),"-999"),J225=IFERROR(INDEX(Fixture!$J$5:$J$108,MATCH(D225,Fixture!$A$5:$A$108,0)),"-999")),IFERROR(INDEX(Fases!$C$5:$C$10,MATCH(IFERROR(INDEX(Fixture!$B$5:$B$108,MATCH(D225,Fixture!$A$5:$A$108,0)),0),Fases!$A$5:$A$10,0)),0),IF(OR(AND(I225&gt;J225,IFERROR(INDEX(Fixture!$I$5:$I$108,MATCH(D225,Fixture!$A$5:$A$108,0)),0)&gt;IFERROR(INDEX(Fixture!$J$5:$J$108,MATCH(D225,Fixture!$A$5:$A$108,0)),0)),AND(I225&lt;J225,IFERROR(INDEX(Fixture!$I$5:$I$108,MATCH(D225,Fixture!$A$5:$A$108,0)),0)&lt;IFERROR(INDEX(Fixture!$J$5:$J$108,MATCH(D225,Fixture!$A$5:$A$108,0)),0)),AND(I225=J225,IFERROR(INDEX(Fixture!$I$5:$I$108,MATCH(D225,Fixture!$A$5:$A$108,0)),0)=IFERROR(INDEX(Fixture!$J$5:$J$108,MATCH(D225,Fixture!$A$5:$A$108,0)),0))),IFERROR(INDEX(Fases!$D$5:$D$10,MATCH(IFERROR(INDEX(Fixture!$B$5:$B$108,MATCH(D225,Fixture!$A$5:$A$108,0)),0),Fases!$A$5:$A$10,0)),0),0))))</f>
        <v/>
      </c>
      <c r="M225" s="12" t="str">
        <f aca="false">IFERROR(INDEX(Fixture!$K$5:$K$108,MATCH(D225,Fixture!$A$5:$A$108,0)),"")</f>
        <v>PENDIENTE</v>
      </c>
    </row>
    <row r="226" customFormat="false" ht="15" hidden="false" customHeight="false" outlineLevel="0" collapsed="false">
      <c r="A226" s="9" t="n">
        <v>222</v>
      </c>
      <c r="B226" s="9" t="n">
        <v>3</v>
      </c>
      <c r="C226" s="10" t="str">
        <f aca="false">IFERROR(INDEX(Usuarios!$C$5:$C$200,MATCH(B226,Usuarios!$A$5:$A$200,0)),"")</f>
        <v>juanpe</v>
      </c>
      <c r="D226" s="9" t="n">
        <v>16</v>
      </c>
      <c r="E226" s="10" t="str">
        <f aca="false">IFERROR(INDEX(Fases!$B$5:$B$10,MATCH(INDEX(Fixture!$B$5:$B$108,MATCH(D226,Fixture!$A$5:$A$108,0)),Fases!$A$5:$A$10,0)),"")</f>
        <v>Grupos</v>
      </c>
      <c r="F226" s="10" t="str">
        <f aca="false">IFERROR(INDEX(Fixture!$E$5:$E$108,MATCH(D226,Fixture!$A$5:$A$108,0)),"")</f>
        <v>Estados Unidos</v>
      </c>
      <c r="G226" s="10" t="str">
        <f aca="false">IFERROR(INDEX(Fixture!$F$5:$F$108,MATCH(D226,Fixture!$A$5:$A$108,0)),"")</f>
        <v>Canadá</v>
      </c>
      <c r="H226" s="22" t="n">
        <f aca="false">IFERROR(INDEX(Fixture!$G$5:$G$108,MATCH(D226,Fixture!$A$5:$A$108,0)),"")</f>
        <v>46189</v>
      </c>
      <c r="I226" s="23"/>
      <c r="J226" s="23"/>
      <c r="K226" s="10" t="str">
        <f aca="false">IFERROR(INDEX(Fixture!$I$5:$I$108,MATCH(D226,Fixture!$A$5:$A$108,0))&amp;"-"&amp;INDEX(Fixture!$J$5:$J$108,MATCH(D226,Fixture!$A$5:$A$108,0)),"")</f>
        <v>-</v>
      </c>
      <c r="L226" s="9" t="str">
        <f aca="false">IF(M226&lt;&gt;"FINALIZADO","",IF(OR(ISBLANK(I226),ISBLANK(J226)),0,IF(AND(I226=IFERROR(INDEX(Fixture!$I$5:$I$108,MATCH(D226,Fixture!$A$5:$A$108,0)),"-999"),J226=IFERROR(INDEX(Fixture!$J$5:$J$108,MATCH(D226,Fixture!$A$5:$A$108,0)),"-999")),IFERROR(INDEX(Fases!$C$5:$C$10,MATCH(IFERROR(INDEX(Fixture!$B$5:$B$108,MATCH(D226,Fixture!$A$5:$A$108,0)),0),Fases!$A$5:$A$10,0)),0),IF(OR(AND(I226&gt;J226,IFERROR(INDEX(Fixture!$I$5:$I$108,MATCH(D226,Fixture!$A$5:$A$108,0)),0)&gt;IFERROR(INDEX(Fixture!$J$5:$J$108,MATCH(D226,Fixture!$A$5:$A$108,0)),0)),AND(I226&lt;J226,IFERROR(INDEX(Fixture!$I$5:$I$108,MATCH(D226,Fixture!$A$5:$A$108,0)),0)&lt;IFERROR(INDEX(Fixture!$J$5:$J$108,MATCH(D226,Fixture!$A$5:$A$108,0)),0)),AND(I226=J226,IFERROR(INDEX(Fixture!$I$5:$I$108,MATCH(D226,Fixture!$A$5:$A$108,0)),0)=IFERROR(INDEX(Fixture!$J$5:$J$108,MATCH(D226,Fixture!$A$5:$A$108,0)),0))),IFERROR(INDEX(Fases!$D$5:$D$10,MATCH(IFERROR(INDEX(Fixture!$B$5:$B$108,MATCH(D226,Fixture!$A$5:$A$108,0)),0),Fases!$A$5:$A$10,0)),0),0))))</f>
        <v/>
      </c>
      <c r="M226" s="10" t="str">
        <f aca="false">IFERROR(INDEX(Fixture!$K$5:$K$108,MATCH(D226,Fixture!$A$5:$A$108,0)),"")</f>
        <v>PENDIENTE</v>
      </c>
    </row>
    <row r="227" customFormat="false" ht="15" hidden="false" customHeight="false" outlineLevel="0" collapsed="false">
      <c r="A227" s="11" t="n">
        <v>223</v>
      </c>
      <c r="B227" s="11" t="n">
        <v>3</v>
      </c>
      <c r="C227" s="12" t="str">
        <f aca="false">IFERROR(INDEX(Usuarios!$C$5:$C$200,MATCH(B227,Usuarios!$A$5:$A$200,0)),"")</f>
        <v>juanpe</v>
      </c>
      <c r="D227" s="11" t="n">
        <v>17</v>
      </c>
      <c r="E227" s="12" t="str">
        <f aca="false">IFERROR(INDEX(Fases!$B$5:$B$10,MATCH(INDEX(Fixture!$B$5:$B$108,MATCH(D227,Fixture!$A$5:$A$108,0)),Fases!$A$5:$A$10,0)),"")</f>
        <v>Grupos</v>
      </c>
      <c r="F227" s="12" t="str">
        <f aca="false">IFERROR(INDEX(Fixture!$E$5:$E$108,MATCH(D227,Fixture!$A$5:$A$108,0)),"")</f>
        <v>Estados Unidos</v>
      </c>
      <c r="G227" s="12" t="str">
        <f aca="false">IFERROR(INDEX(Fixture!$F$5:$F$108,MATCH(D227,Fixture!$A$5:$A$108,0)),"")</f>
        <v>Costa Rica</v>
      </c>
      <c r="H227" s="20" t="n">
        <f aca="false">IFERROR(INDEX(Fixture!$G$5:$G$108,MATCH(D227,Fixture!$A$5:$A$108,0)),"")</f>
        <v>46189.625</v>
      </c>
      <c r="I227" s="21"/>
      <c r="J227" s="21"/>
      <c r="K227" s="12" t="str">
        <f aca="false">IFERROR(INDEX(Fixture!$I$5:$I$108,MATCH(D227,Fixture!$A$5:$A$108,0))&amp;"-"&amp;INDEX(Fixture!$J$5:$J$108,MATCH(D227,Fixture!$A$5:$A$108,0)),"")</f>
        <v>-</v>
      </c>
      <c r="L227" s="11" t="str">
        <f aca="false">IF(M227&lt;&gt;"FINALIZADO","",IF(OR(ISBLANK(I227),ISBLANK(J227)),0,IF(AND(I227=IFERROR(INDEX(Fixture!$I$5:$I$108,MATCH(D227,Fixture!$A$5:$A$108,0)),"-999"),J227=IFERROR(INDEX(Fixture!$J$5:$J$108,MATCH(D227,Fixture!$A$5:$A$108,0)),"-999")),IFERROR(INDEX(Fases!$C$5:$C$10,MATCH(IFERROR(INDEX(Fixture!$B$5:$B$108,MATCH(D227,Fixture!$A$5:$A$108,0)),0),Fases!$A$5:$A$10,0)),0),IF(OR(AND(I227&gt;J227,IFERROR(INDEX(Fixture!$I$5:$I$108,MATCH(D227,Fixture!$A$5:$A$108,0)),0)&gt;IFERROR(INDEX(Fixture!$J$5:$J$108,MATCH(D227,Fixture!$A$5:$A$108,0)),0)),AND(I227&lt;J227,IFERROR(INDEX(Fixture!$I$5:$I$108,MATCH(D227,Fixture!$A$5:$A$108,0)),0)&lt;IFERROR(INDEX(Fixture!$J$5:$J$108,MATCH(D227,Fixture!$A$5:$A$108,0)),0)),AND(I227=J227,IFERROR(INDEX(Fixture!$I$5:$I$108,MATCH(D227,Fixture!$A$5:$A$108,0)),0)=IFERROR(INDEX(Fixture!$J$5:$J$108,MATCH(D227,Fixture!$A$5:$A$108,0)),0))),IFERROR(INDEX(Fases!$D$5:$D$10,MATCH(IFERROR(INDEX(Fixture!$B$5:$B$108,MATCH(D227,Fixture!$A$5:$A$108,0)),0),Fases!$A$5:$A$10,0)),0),0))))</f>
        <v/>
      </c>
      <c r="M227" s="12" t="str">
        <f aca="false">IFERROR(INDEX(Fixture!$K$5:$K$108,MATCH(D227,Fixture!$A$5:$A$108,0)),"")</f>
        <v>PENDIENTE</v>
      </c>
    </row>
    <row r="228" customFormat="false" ht="15" hidden="false" customHeight="false" outlineLevel="0" collapsed="false">
      <c r="A228" s="9" t="n">
        <v>224</v>
      </c>
      <c r="B228" s="9" t="n">
        <v>3</v>
      </c>
      <c r="C228" s="10" t="str">
        <f aca="false">IFERROR(INDEX(Usuarios!$C$5:$C$200,MATCH(B228,Usuarios!$A$5:$A$200,0)),"")</f>
        <v>juanpe</v>
      </c>
      <c r="D228" s="9" t="n">
        <v>18</v>
      </c>
      <c r="E228" s="10" t="str">
        <f aca="false">IFERROR(INDEX(Fases!$B$5:$B$10,MATCH(INDEX(Fixture!$B$5:$B$108,MATCH(D228,Fixture!$A$5:$A$108,0)),Fases!$A$5:$A$10,0)),"")</f>
        <v>Grupos</v>
      </c>
      <c r="F228" s="10" t="str">
        <f aca="false">IFERROR(INDEX(Fixture!$E$5:$E$108,MATCH(D228,Fixture!$A$5:$A$108,0)),"")</f>
        <v>Canadá</v>
      </c>
      <c r="G228" s="10" t="str">
        <f aca="false">IFERROR(INDEX(Fixture!$F$5:$F$108,MATCH(D228,Fixture!$A$5:$A$108,0)),"")</f>
        <v>Costa Rica</v>
      </c>
      <c r="H228" s="22" t="n">
        <f aca="false">IFERROR(INDEX(Fixture!$G$5:$G$108,MATCH(D228,Fixture!$A$5:$A$108,0)),"")</f>
        <v>46189.75</v>
      </c>
      <c r="I228" s="23"/>
      <c r="J228" s="23"/>
      <c r="K228" s="10" t="str">
        <f aca="false">IFERROR(INDEX(Fixture!$I$5:$I$108,MATCH(D228,Fixture!$A$5:$A$108,0))&amp;"-"&amp;INDEX(Fixture!$J$5:$J$108,MATCH(D228,Fixture!$A$5:$A$108,0)),"")</f>
        <v>-</v>
      </c>
      <c r="L228" s="9" t="str">
        <f aca="false">IF(M228&lt;&gt;"FINALIZADO","",IF(OR(ISBLANK(I228),ISBLANK(J228)),0,IF(AND(I228=IFERROR(INDEX(Fixture!$I$5:$I$108,MATCH(D228,Fixture!$A$5:$A$108,0)),"-999"),J228=IFERROR(INDEX(Fixture!$J$5:$J$108,MATCH(D228,Fixture!$A$5:$A$108,0)),"-999")),IFERROR(INDEX(Fases!$C$5:$C$10,MATCH(IFERROR(INDEX(Fixture!$B$5:$B$108,MATCH(D228,Fixture!$A$5:$A$108,0)),0),Fases!$A$5:$A$10,0)),0),IF(OR(AND(I228&gt;J228,IFERROR(INDEX(Fixture!$I$5:$I$108,MATCH(D228,Fixture!$A$5:$A$108,0)),0)&gt;IFERROR(INDEX(Fixture!$J$5:$J$108,MATCH(D228,Fixture!$A$5:$A$108,0)),0)),AND(I228&lt;J228,IFERROR(INDEX(Fixture!$I$5:$I$108,MATCH(D228,Fixture!$A$5:$A$108,0)),0)&lt;IFERROR(INDEX(Fixture!$J$5:$J$108,MATCH(D228,Fixture!$A$5:$A$108,0)),0)),AND(I228=J228,IFERROR(INDEX(Fixture!$I$5:$I$108,MATCH(D228,Fixture!$A$5:$A$108,0)),0)=IFERROR(INDEX(Fixture!$J$5:$J$108,MATCH(D228,Fixture!$A$5:$A$108,0)),0))),IFERROR(INDEX(Fases!$D$5:$D$10,MATCH(IFERROR(INDEX(Fixture!$B$5:$B$108,MATCH(D228,Fixture!$A$5:$A$108,0)),0),Fases!$A$5:$A$10,0)),0),0))))</f>
        <v/>
      </c>
      <c r="M228" s="10" t="str">
        <f aca="false">IFERROR(INDEX(Fixture!$K$5:$K$108,MATCH(D228,Fixture!$A$5:$A$108,0)),"")</f>
        <v>PENDIENTE</v>
      </c>
    </row>
    <row r="229" customFormat="false" ht="15" hidden="false" customHeight="false" outlineLevel="0" collapsed="false">
      <c r="A229" s="11" t="n">
        <v>225</v>
      </c>
      <c r="B229" s="11" t="n">
        <v>3</v>
      </c>
      <c r="C229" s="12" t="str">
        <f aca="false">IFERROR(INDEX(Usuarios!$C$5:$C$200,MATCH(B229,Usuarios!$A$5:$A$200,0)),"")</f>
        <v>juanpe</v>
      </c>
      <c r="D229" s="11" t="n">
        <v>19</v>
      </c>
      <c r="E229" s="12" t="str">
        <f aca="false">IFERROR(INDEX(Fases!$B$5:$B$10,MATCH(INDEX(Fixture!$B$5:$B$108,MATCH(D229,Fixture!$A$5:$A$108,0)),Fases!$A$5:$A$10,0)),"")</f>
        <v>Grupos</v>
      </c>
      <c r="F229" s="12" t="str">
        <f aca="false">IFERROR(INDEX(Fixture!$E$5:$E$108,MATCH(D229,Fixture!$A$5:$A$108,0)),"")</f>
        <v>Panamá</v>
      </c>
      <c r="G229" s="12" t="str">
        <f aca="false">IFERROR(INDEX(Fixture!$F$5:$F$108,MATCH(D229,Fixture!$A$5:$A$108,0)),"")</f>
        <v>Honduras</v>
      </c>
      <c r="H229" s="20" t="n">
        <f aca="false">IFERROR(INDEX(Fixture!$G$5:$G$108,MATCH(D229,Fixture!$A$5:$A$108,0)),"")</f>
        <v>46190.625</v>
      </c>
      <c r="I229" s="21"/>
      <c r="J229" s="21"/>
      <c r="K229" s="12" t="str">
        <f aca="false">IFERROR(INDEX(Fixture!$I$5:$I$108,MATCH(D229,Fixture!$A$5:$A$108,0))&amp;"-"&amp;INDEX(Fixture!$J$5:$J$108,MATCH(D229,Fixture!$A$5:$A$108,0)),"")</f>
        <v>-</v>
      </c>
      <c r="L229" s="11" t="str">
        <f aca="false">IF(M229&lt;&gt;"FINALIZADO","",IF(OR(ISBLANK(I229),ISBLANK(J229)),0,IF(AND(I229=IFERROR(INDEX(Fixture!$I$5:$I$108,MATCH(D229,Fixture!$A$5:$A$108,0)),"-999"),J229=IFERROR(INDEX(Fixture!$J$5:$J$108,MATCH(D229,Fixture!$A$5:$A$108,0)),"-999")),IFERROR(INDEX(Fases!$C$5:$C$10,MATCH(IFERROR(INDEX(Fixture!$B$5:$B$108,MATCH(D229,Fixture!$A$5:$A$108,0)),0),Fases!$A$5:$A$10,0)),0),IF(OR(AND(I229&gt;J229,IFERROR(INDEX(Fixture!$I$5:$I$108,MATCH(D229,Fixture!$A$5:$A$108,0)),0)&gt;IFERROR(INDEX(Fixture!$J$5:$J$108,MATCH(D229,Fixture!$A$5:$A$108,0)),0)),AND(I229&lt;J229,IFERROR(INDEX(Fixture!$I$5:$I$108,MATCH(D229,Fixture!$A$5:$A$108,0)),0)&lt;IFERROR(INDEX(Fixture!$J$5:$J$108,MATCH(D229,Fixture!$A$5:$A$108,0)),0)),AND(I229=J229,IFERROR(INDEX(Fixture!$I$5:$I$108,MATCH(D229,Fixture!$A$5:$A$108,0)),0)=IFERROR(INDEX(Fixture!$J$5:$J$108,MATCH(D229,Fixture!$A$5:$A$108,0)),0))),IFERROR(INDEX(Fases!$D$5:$D$10,MATCH(IFERROR(INDEX(Fixture!$B$5:$B$108,MATCH(D229,Fixture!$A$5:$A$108,0)),0),Fases!$A$5:$A$10,0)),0),0))))</f>
        <v/>
      </c>
      <c r="M229" s="12" t="str">
        <f aca="false">IFERROR(INDEX(Fixture!$K$5:$K$108,MATCH(D229,Fixture!$A$5:$A$108,0)),"")</f>
        <v>PENDIENTE</v>
      </c>
    </row>
    <row r="230" customFormat="false" ht="15" hidden="false" customHeight="false" outlineLevel="0" collapsed="false">
      <c r="A230" s="9" t="n">
        <v>226</v>
      </c>
      <c r="B230" s="9" t="n">
        <v>3</v>
      </c>
      <c r="C230" s="10" t="str">
        <f aca="false">IFERROR(INDEX(Usuarios!$C$5:$C$200,MATCH(B230,Usuarios!$A$5:$A$200,0)),"")</f>
        <v>juanpe</v>
      </c>
      <c r="D230" s="9" t="n">
        <v>20</v>
      </c>
      <c r="E230" s="10" t="str">
        <f aca="false">IFERROR(INDEX(Fases!$B$5:$B$10,MATCH(INDEX(Fixture!$B$5:$B$108,MATCH(D230,Fixture!$A$5:$A$108,0)),Fases!$A$5:$A$10,0)),"")</f>
        <v>Grupos</v>
      </c>
      <c r="F230" s="10" t="str">
        <f aca="false">IFERROR(INDEX(Fixture!$E$5:$E$108,MATCH(D230,Fixture!$A$5:$A$108,0)),"")</f>
        <v>Panamá</v>
      </c>
      <c r="G230" s="10" t="str">
        <f aca="false">IFERROR(INDEX(Fixture!$F$5:$F$108,MATCH(D230,Fixture!$A$5:$A$108,0)),"")</f>
        <v>Jamaica</v>
      </c>
      <c r="H230" s="22" t="n">
        <f aca="false">IFERROR(INDEX(Fixture!$G$5:$G$108,MATCH(D230,Fixture!$A$5:$A$108,0)),"")</f>
        <v>46190.75</v>
      </c>
      <c r="I230" s="23"/>
      <c r="J230" s="23"/>
      <c r="K230" s="10" t="str">
        <f aca="false">IFERROR(INDEX(Fixture!$I$5:$I$108,MATCH(D230,Fixture!$A$5:$A$108,0))&amp;"-"&amp;INDEX(Fixture!$J$5:$J$108,MATCH(D230,Fixture!$A$5:$A$108,0)),"")</f>
        <v>-</v>
      </c>
      <c r="L230" s="9" t="str">
        <f aca="false">IF(M230&lt;&gt;"FINALIZADO","",IF(OR(ISBLANK(I230),ISBLANK(J230)),0,IF(AND(I230=IFERROR(INDEX(Fixture!$I$5:$I$108,MATCH(D230,Fixture!$A$5:$A$108,0)),"-999"),J230=IFERROR(INDEX(Fixture!$J$5:$J$108,MATCH(D230,Fixture!$A$5:$A$108,0)),"-999")),IFERROR(INDEX(Fases!$C$5:$C$10,MATCH(IFERROR(INDEX(Fixture!$B$5:$B$108,MATCH(D230,Fixture!$A$5:$A$108,0)),0),Fases!$A$5:$A$10,0)),0),IF(OR(AND(I230&gt;J230,IFERROR(INDEX(Fixture!$I$5:$I$108,MATCH(D230,Fixture!$A$5:$A$108,0)),0)&gt;IFERROR(INDEX(Fixture!$J$5:$J$108,MATCH(D230,Fixture!$A$5:$A$108,0)),0)),AND(I230&lt;J230,IFERROR(INDEX(Fixture!$I$5:$I$108,MATCH(D230,Fixture!$A$5:$A$108,0)),0)&lt;IFERROR(INDEX(Fixture!$J$5:$J$108,MATCH(D230,Fixture!$A$5:$A$108,0)),0)),AND(I230=J230,IFERROR(INDEX(Fixture!$I$5:$I$108,MATCH(D230,Fixture!$A$5:$A$108,0)),0)=IFERROR(INDEX(Fixture!$J$5:$J$108,MATCH(D230,Fixture!$A$5:$A$108,0)),0))),IFERROR(INDEX(Fases!$D$5:$D$10,MATCH(IFERROR(INDEX(Fixture!$B$5:$B$108,MATCH(D230,Fixture!$A$5:$A$108,0)),0),Fases!$A$5:$A$10,0)),0),0))))</f>
        <v/>
      </c>
      <c r="M230" s="10" t="str">
        <f aca="false">IFERROR(INDEX(Fixture!$K$5:$K$108,MATCH(D230,Fixture!$A$5:$A$108,0)),"")</f>
        <v>PENDIENTE</v>
      </c>
    </row>
    <row r="231" customFormat="false" ht="15" hidden="false" customHeight="false" outlineLevel="0" collapsed="false">
      <c r="A231" s="11" t="n">
        <v>227</v>
      </c>
      <c r="B231" s="11" t="n">
        <v>3</v>
      </c>
      <c r="C231" s="12" t="str">
        <f aca="false">IFERROR(INDEX(Usuarios!$C$5:$C$200,MATCH(B231,Usuarios!$A$5:$A$200,0)),"")</f>
        <v>juanpe</v>
      </c>
      <c r="D231" s="11" t="n">
        <v>21</v>
      </c>
      <c r="E231" s="12" t="str">
        <f aca="false">IFERROR(INDEX(Fases!$B$5:$B$10,MATCH(INDEX(Fixture!$B$5:$B$108,MATCH(D231,Fixture!$A$5:$A$108,0)),Fases!$A$5:$A$10,0)),"")</f>
        <v>Grupos</v>
      </c>
      <c r="F231" s="12" t="str">
        <f aca="false">IFERROR(INDEX(Fixture!$E$5:$E$108,MATCH(D231,Fixture!$A$5:$A$108,0)),"")</f>
        <v>Panamá</v>
      </c>
      <c r="G231" s="12" t="str">
        <f aca="false">IFERROR(INDEX(Fixture!$F$5:$F$108,MATCH(D231,Fixture!$A$5:$A$108,0)),"")</f>
        <v>Trinidad y Tobago</v>
      </c>
      <c r="H231" s="20" t="n">
        <f aca="false">IFERROR(INDEX(Fixture!$G$5:$G$108,MATCH(D231,Fixture!$A$5:$A$108,0)),"")</f>
        <v>46190.875</v>
      </c>
      <c r="I231" s="21"/>
      <c r="J231" s="21"/>
      <c r="K231" s="12" t="str">
        <f aca="false">IFERROR(INDEX(Fixture!$I$5:$I$108,MATCH(D231,Fixture!$A$5:$A$108,0))&amp;"-"&amp;INDEX(Fixture!$J$5:$J$108,MATCH(D231,Fixture!$A$5:$A$108,0)),"")</f>
        <v>-</v>
      </c>
      <c r="L231" s="11" t="str">
        <f aca="false">IF(M231&lt;&gt;"FINALIZADO","",IF(OR(ISBLANK(I231),ISBLANK(J231)),0,IF(AND(I231=IFERROR(INDEX(Fixture!$I$5:$I$108,MATCH(D231,Fixture!$A$5:$A$108,0)),"-999"),J231=IFERROR(INDEX(Fixture!$J$5:$J$108,MATCH(D231,Fixture!$A$5:$A$108,0)),"-999")),IFERROR(INDEX(Fases!$C$5:$C$10,MATCH(IFERROR(INDEX(Fixture!$B$5:$B$108,MATCH(D231,Fixture!$A$5:$A$108,0)),0),Fases!$A$5:$A$10,0)),0),IF(OR(AND(I231&gt;J231,IFERROR(INDEX(Fixture!$I$5:$I$108,MATCH(D231,Fixture!$A$5:$A$108,0)),0)&gt;IFERROR(INDEX(Fixture!$J$5:$J$108,MATCH(D231,Fixture!$A$5:$A$108,0)),0)),AND(I231&lt;J231,IFERROR(INDEX(Fixture!$I$5:$I$108,MATCH(D231,Fixture!$A$5:$A$108,0)),0)&lt;IFERROR(INDEX(Fixture!$J$5:$J$108,MATCH(D231,Fixture!$A$5:$A$108,0)),0)),AND(I231=J231,IFERROR(INDEX(Fixture!$I$5:$I$108,MATCH(D231,Fixture!$A$5:$A$108,0)),0)=IFERROR(INDEX(Fixture!$J$5:$J$108,MATCH(D231,Fixture!$A$5:$A$108,0)),0))),IFERROR(INDEX(Fases!$D$5:$D$10,MATCH(IFERROR(INDEX(Fixture!$B$5:$B$108,MATCH(D231,Fixture!$A$5:$A$108,0)),0),Fases!$A$5:$A$10,0)),0),0))))</f>
        <v/>
      </c>
      <c r="M231" s="12" t="str">
        <f aca="false">IFERROR(INDEX(Fixture!$K$5:$K$108,MATCH(D231,Fixture!$A$5:$A$108,0)),"")</f>
        <v>PENDIENTE</v>
      </c>
    </row>
    <row r="232" customFormat="false" ht="15" hidden="false" customHeight="false" outlineLevel="0" collapsed="false">
      <c r="A232" s="9" t="n">
        <v>228</v>
      </c>
      <c r="B232" s="9" t="n">
        <v>3</v>
      </c>
      <c r="C232" s="10" t="str">
        <f aca="false">IFERROR(INDEX(Usuarios!$C$5:$C$200,MATCH(B232,Usuarios!$A$5:$A$200,0)),"")</f>
        <v>juanpe</v>
      </c>
      <c r="D232" s="9" t="n">
        <v>22</v>
      </c>
      <c r="E232" s="10" t="str">
        <f aca="false">IFERROR(INDEX(Fases!$B$5:$B$10,MATCH(INDEX(Fixture!$B$5:$B$108,MATCH(D232,Fixture!$A$5:$A$108,0)),Fases!$A$5:$A$10,0)),"")</f>
        <v>Grupos</v>
      </c>
      <c r="F232" s="10" t="str">
        <f aca="false">IFERROR(INDEX(Fixture!$E$5:$E$108,MATCH(D232,Fixture!$A$5:$A$108,0)),"")</f>
        <v>Honduras</v>
      </c>
      <c r="G232" s="10" t="str">
        <f aca="false">IFERROR(INDEX(Fixture!$F$5:$F$108,MATCH(D232,Fixture!$A$5:$A$108,0)),"")</f>
        <v>Jamaica</v>
      </c>
      <c r="H232" s="22" t="n">
        <f aca="false">IFERROR(INDEX(Fixture!$G$5:$G$108,MATCH(D232,Fixture!$A$5:$A$108,0)),"")</f>
        <v>46191</v>
      </c>
      <c r="I232" s="23"/>
      <c r="J232" s="23"/>
      <c r="K232" s="10" t="str">
        <f aca="false">IFERROR(INDEX(Fixture!$I$5:$I$108,MATCH(D232,Fixture!$A$5:$A$108,0))&amp;"-"&amp;INDEX(Fixture!$J$5:$J$108,MATCH(D232,Fixture!$A$5:$A$108,0)),"")</f>
        <v>-</v>
      </c>
      <c r="L232" s="9" t="str">
        <f aca="false">IF(M232&lt;&gt;"FINALIZADO","",IF(OR(ISBLANK(I232),ISBLANK(J232)),0,IF(AND(I232=IFERROR(INDEX(Fixture!$I$5:$I$108,MATCH(D232,Fixture!$A$5:$A$108,0)),"-999"),J232=IFERROR(INDEX(Fixture!$J$5:$J$108,MATCH(D232,Fixture!$A$5:$A$108,0)),"-999")),IFERROR(INDEX(Fases!$C$5:$C$10,MATCH(IFERROR(INDEX(Fixture!$B$5:$B$108,MATCH(D232,Fixture!$A$5:$A$108,0)),0),Fases!$A$5:$A$10,0)),0),IF(OR(AND(I232&gt;J232,IFERROR(INDEX(Fixture!$I$5:$I$108,MATCH(D232,Fixture!$A$5:$A$108,0)),0)&gt;IFERROR(INDEX(Fixture!$J$5:$J$108,MATCH(D232,Fixture!$A$5:$A$108,0)),0)),AND(I232&lt;J232,IFERROR(INDEX(Fixture!$I$5:$I$108,MATCH(D232,Fixture!$A$5:$A$108,0)),0)&lt;IFERROR(INDEX(Fixture!$J$5:$J$108,MATCH(D232,Fixture!$A$5:$A$108,0)),0)),AND(I232=J232,IFERROR(INDEX(Fixture!$I$5:$I$108,MATCH(D232,Fixture!$A$5:$A$108,0)),0)=IFERROR(INDEX(Fixture!$J$5:$J$108,MATCH(D232,Fixture!$A$5:$A$108,0)),0))),IFERROR(INDEX(Fases!$D$5:$D$10,MATCH(IFERROR(INDEX(Fixture!$B$5:$B$108,MATCH(D232,Fixture!$A$5:$A$108,0)),0),Fases!$A$5:$A$10,0)),0),0))))</f>
        <v/>
      </c>
      <c r="M232" s="10" t="str">
        <f aca="false">IFERROR(INDEX(Fixture!$K$5:$K$108,MATCH(D232,Fixture!$A$5:$A$108,0)),"")</f>
        <v>PENDIENTE</v>
      </c>
    </row>
    <row r="233" customFormat="false" ht="15" hidden="false" customHeight="false" outlineLevel="0" collapsed="false">
      <c r="A233" s="11" t="n">
        <v>229</v>
      </c>
      <c r="B233" s="11" t="n">
        <v>3</v>
      </c>
      <c r="C233" s="12" t="str">
        <f aca="false">IFERROR(INDEX(Usuarios!$C$5:$C$200,MATCH(B233,Usuarios!$A$5:$A$200,0)),"")</f>
        <v>juanpe</v>
      </c>
      <c r="D233" s="11" t="n">
        <v>23</v>
      </c>
      <c r="E233" s="12" t="str">
        <f aca="false">IFERROR(INDEX(Fases!$B$5:$B$10,MATCH(INDEX(Fixture!$B$5:$B$108,MATCH(D233,Fixture!$A$5:$A$108,0)),Fases!$A$5:$A$10,0)),"")</f>
        <v>Grupos</v>
      </c>
      <c r="F233" s="12" t="str">
        <f aca="false">IFERROR(INDEX(Fixture!$E$5:$E$108,MATCH(D233,Fixture!$A$5:$A$108,0)),"")</f>
        <v>Honduras</v>
      </c>
      <c r="G233" s="12" t="str">
        <f aca="false">IFERROR(INDEX(Fixture!$F$5:$F$108,MATCH(D233,Fixture!$A$5:$A$108,0)),"")</f>
        <v>Trinidad y Tobago</v>
      </c>
      <c r="H233" s="20" t="n">
        <f aca="false">IFERROR(INDEX(Fixture!$G$5:$G$108,MATCH(D233,Fixture!$A$5:$A$108,0)),"")</f>
        <v>46191.625</v>
      </c>
      <c r="I233" s="21"/>
      <c r="J233" s="21"/>
      <c r="K233" s="12" t="str">
        <f aca="false">IFERROR(INDEX(Fixture!$I$5:$I$108,MATCH(D233,Fixture!$A$5:$A$108,0))&amp;"-"&amp;INDEX(Fixture!$J$5:$J$108,MATCH(D233,Fixture!$A$5:$A$108,0)),"")</f>
        <v>-</v>
      </c>
      <c r="L233" s="11" t="str">
        <f aca="false">IF(M233&lt;&gt;"FINALIZADO","",IF(OR(ISBLANK(I233),ISBLANK(J233)),0,IF(AND(I233=IFERROR(INDEX(Fixture!$I$5:$I$108,MATCH(D233,Fixture!$A$5:$A$108,0)),"-999"),J233=IFERROR(INDEX(Fixture!$J$5:$J$108,MATCH(D233,Fixture!$A$5:$A$108,0)),"-999")),IFERROR(INDEX(Fases!$C$5:$C$10,MATCH(IFERROR(INDEX(Fixture!$B$5:$B$108,MATCH(D233,Fixture!$A$5:$A$108,0)),0),Fases!$A$5:$A$10,0)),0),IF(OR(AND(I233&gt;J233,IFERROR(INDEX(Fixture!$I$5:$I$108,MATCH(D233,Fixture!$A$5:$A$108,0)),0)&gt;IFERROR(INDEX(Fixture!$J$5:$J$108,MATCH(D233,Fixture!$A$5:$A$108,0)),0)),AND(I233&lt;J233,IFERROR(INDEX(Fixture!$I$5:$I$108,MATCH(D233,Fixture!$A$5:$A$108,0)),0)&lt;IFERROR(INDEX(Fixture!$J$5:$J$108,MATCH(D233,Fixture!$A$5:$A$108,0)),0)),AND(I233=J233,IFERROR(INDEX(Fixture!$I$5:$I$108,MATCH(D233,Fixture!$A$5:$A$108,0)),0)=IFERROR(INDEX(Fixture!$J$5:$J$108,MATCH(D233,Fixture!$A$5:$A$108,0)),0))),IFERROR(INDEX(Fases!$D$5:$D$10,MATCH(IFERROR(INDEX(Fixture!$B$5:$B$108,MATCH(D233,Fixture!$A$5:$A$108,0)),0),Fases!$A$5:$A$10,0)),0),0))))</f>
        <v/>
      </c>
      <c r="M233" s="12" t="str">
        <f aca="false">IFERROR(INDEX(Fixture!$K$5:$K$108,MATCH(D233,Fixture!$A$5:$A$108,0)),"")</f>
        <v>PENDIENTE</v>
      </c>
    </row>
    <row r="234" customFormat="false" ht="15" hidden="false" customHeight="false" outlineLevel="0" collapsed="false">
      <c r="A234" s="9" t="n">
        <v>230</v>
      </c>
      <c r="B234" s="9" t="n">
        <v>3</v>
      </c>
      <c r="C234" s="10" t="str">
        <f aca="false">IFERROR(INDEX(Usuarios!$C$5:$C$200,MATCH(B234,Usuarios!$A$5:$A$200,0)),"")</f>
        <v>juanpe</v>
      </c>
      <c r="D234" s="9" t="n">
        <v>24</v>
      </c>
      <c r="E234" s="10" t="str">
        <f aca="false">IFERROR(INDEX(Fases!$B$5:$B$10,MATCH(INDEX(Fixture!$B$5:$B$108,MATCH(D234,Fixture!$A$5:$A$108,0)),Fases!$A$5:$A$10,0)),"")</f>
        <v>Grupos</v>
      </c>
      <c r="F234" s="10" t="str">
        <f aca="false">IFERROR(INDEX(Fixture!$E$5:$E$108,MATCH(D234,Fixture!$A$5:$A$108,0)),"")</f>
        <v>Jamaica</v>
      </c>
      <c r="G234" s="10" t="str">
        <f aca="false">IFERROR(INDEX(Fixture!$F$5:$F$108,MATCH(D234,Fixture!$A$5:$A$108,0)),"")</f>
        <v>Trinidad y Tobago</v>
      </c>
      <c r="H234" s="22" t="n">
        <f aca="false">IFERROR(INDEX(Fixture!$G$5:$G$108,MATCH(D234,Fixture!$A$5:$A$108,0)),"")</f>
        <v>46191.75</v>
      </c>
      <c r="I234" s="23"/>
      <c r="J234" s="23"/>
      <c r="K234" s="10" t="str">
        <f aca="false">IFERROR(INDEX(Fixture!$I$5:$I$108,MATCH(D234,Fixture!$A$5:$A$108,0))&amp;"-"&amp;INDEX(Fixture!$J$5:$J$108,MATCH(D234,Fixture!$A$5:$A$108,0)),"")</f>
        <v>-</v>
      </c>
      <c r="L234" s="9" t="str">
        <f aca="false">IF(M234&lt;&gt;"FINALIZADO","",IF(OR(ISBLANK(I234),ISBLANK(J234)),0,IF(AND(I234=IFERROR(INDEX(Fixture!$I$5:$I$108,MATCH(D234,Fixture!$A$5:$A$108,0)),"-999"),J234=IFERROR(INDEX(Fixture!$J$5:$J$108,MATCH(D234,Fixture!$A$5:$A$108,0)),"-999")),IFERROR(INDEX(Fases!$C$5:$C$10,MATCH(IFERROR(INDEX(Fixture!$B$5:$B$108,MATCH(D234,Fixture!$A$5:$A$108,0)),0),Fases!$A$5:$A$10,0)),0),IF(OR(AND(I234&gt;J234,IFERROR(INDEX(Fixture!$I$5:$I$108,MATCH(D234,Fixture!$A$5:$A$108,0)),0)&gt;IFERROR(INDEX(Fixture!$J$5:$J$108,MATCH(D234,Fixture!$A$5:$A$108,0)),0)),AND(I234&lt;J234,IFERROR(INDEX(Fixture!$I$5:$I$108,MATCH(D234,Fixture!$A$5:$A$108,0)),0)&lt;IFERROR(INDEX(Fixture!$J$5:$J$108,MATCH(D234,Fixture!$A$5:$A$108,0)),0)),AND(I234=J234,IFERROR(INDEX(Fixture!$I$5:$I$108,MATCH(D234,Fixture!$A$5:$A$108,0)),0)=IFERROR(INDEX(Fixture!$J$5:$J$108,MATCH(D234,Fixture!$A$5:$A$108,0)),0))),IFERROR(INDEX(Fases!$D$5:$D$10,MATCH(IFERROR(INDEX(Fixture!$B$5:$B$108,MATCH(D234,Fixture!$A$5:$A$108,0)),0),Fases!$A$5:$A$10,0)),0),0))))</f>
        <v/>
      </c>
      <c r="M234" s="10" t="str">
        <f aca="false">IFERROR(INDEX(Fixture!$K$5:$K$108,MATCH(D234,Fixture!$A$5:$A$108,0)),"")</f>
        <v>PENDIENTE</v>
      </c>
    </row>
    <row r="235" customFormat="false" ht="15" hidden="false" customHeight="false" outlineLevel="0" collapsed="false">
      <c r="A235" s="11" t="n">
        <v>231</v>
      </c>
      <c r="B235" s="11" t="n">
        <v>3</v>
      </c>
      <c r="C235" s="12" t="str">
        <f aca="false">IFERROR(INDEX(Usuarios!$C$5:$C$200,MATCH(B235,Usuarios!$A$5:$A$200,0)),"")</f>
        <v>juanpe</v>
      </c>
      <c r="D235" s="11" t="n">
        <v>25</v>
      </c>
      <c r="E235" s="12" t="str">
        <f aca="false">IFERROR(INDEX(Fases!$B$5:$B$10,MATCH(INDEX(Fixture!$B$5:$B$108,MATCH(D235,Fixture!$A$5:$A$108,0)),Fases!$A$5:$A$10,0)),"")</f>
        <v>Grupos</v>
      </c>
      <c r="F235" s="12" t="str">
        <f aca="false">IFERROR(INDEX(Fixture!$E$5:$E$108,MATCH(D235,Fixture!$A$5:$A$108,0)),"")</f>
        <v>España</v>
      </c>
      <c r="G235" s="12" t="str">
        <f aca="false">IFERROR(INDEX(Fixture!$F$5:$F$108,MATCH(D235,Fixture!$A$5:$A$108,0)),"")</f>
        <v>Francia</v>
      </c>
      <c r="H235" s="20" t="n">
        <f aca="false">IFERROR(INDEX(Fixture!$G$5:$G$108,MATCH(D235,Fixture!$A$5:$A$108,0)),"")</f>
        <v>46192.625</v>
      </c>
      <c r="I235" s="21"/>
      <c r="J235" s="21"/>
      <c r="K235" s="12" t="str">
        <f aca="false">IFERROR(INDEX(Fixture!$I$5:$I$108,MATCH(D235,Fixture!$A$5:$A$108,0))&amp;"-"&amp;INDEX(Fixture!$J$5:$J$108,MATCH(D235,Fixture!$A$5:$A$108,0)),"")</f>
        <v>-</v>
      </c>
      <c r="L235" s="11" t="str">
        <f aca="false">IF(M235&lt;&gt;"FINALIZADO","",IF(OR(ISBLANK(I235),ISBLANK(J235)),0,IF(AND(I235=IFERROR(INDEX(Fixture!$I$5:$I$108,MATCH(D235,Fixture!$A$5:$A$108,0)),"-999"),J235=IFERROR(INDEX(Fixture!$J$5:$J$108,MATCH(D235,Fixture!$A$5:$A$108,0)),"-999")),IFERROR(INDEX(Fases!$C$5:$C$10,MATCH(IFERROR(INDEX(Fixture!$B$5:$B$108,MATCH(D235,Fixture!$A$5:$A$108,0)),0),Fases!$A$5:$A$10,0)),0),IF(OR(AND(I235&gt;J235,IFERROR(INDEX(Fixture!$I$5:$I$108,MATCH(D235,Fixture!$A$5:$A$108,0)),0)&gt;IFERROR(INDEX(Fixture!$J$5:$J$108,MATCH(D235,Fixture!$A$5:$A$108,0)),0)),AND(I235&lt;J235,IFERROR(INDEX(Fixture!$I$5:$I$108,MATCH(D235,Fixture!$A$5:$A$108,0)),0)&lt;IFERROR(INDEX(Fixture!$J$5:$J$108,MATCH(D235,Fixture!$A$5:$A$108,0)),0)),AND(I235=J235,IFERROR(INDEX(Fixture!$I$5:$I$108,MATCH(D235,Fixture!$A$5:$A$108,0)),0)=IFERROR(INDEX(Fixture!$J$5:$J$108,MATCH(D235,Fixture!$A$5:$A$108,0)),0))),IFERROR(INDEX(Fases!$D$5:$D$10,MATCH(IFERROR(INDEX(Fixture!$B$5:$B$108,MATCH(D235,Fixture!$A$5:$A$108,0)),0),Fases!$A$5:$A$10,0)),0),0))))</f>
        <v/>
      </c>
      <c r="M235" s="12" t="str">
        <f aca="false">IFERROR(INDEX(Fixture!$K$5:$K$108,MATCH(D235,Fixture!$A$5:$A$108,0)),"")</f>
        <v>PENDIENTE</v>
      </c>
    </row>
    <row r="236" customFormat="false" ht="15" hidden="false" customHeight="false" outlineLevel="0" collapsed="false">
      <c r="A236" s="9" t="n">
        <v>232</v>
      </c>
      <c r="B236" s="9" t="n">
        <v>3</v>
      </c>
      <c r="C236" s="10" t="str">
        <f aca="false">IFERROR(INDEX(Usuarios!$C$5:$C$200,MATCH(B236,Usuarios!$A$5:$A$200,0)),"")</f>
        <v>juanpe</v>
      </c>
      <c r="D236" s="9" t="n">
        <v>26</v>
      </c>
      <c r="E236" s="10" t="str">
        <f aca="false">IFERROR(INDEX(Fases!$B$5:$B$10,MATCH(INDEX(Fixture!$B$5:$B$108,MATCH(D236,Fixture!$A$5:$A$108,0)),Fases!$A$5:$A$10,0)),"")</f>
        <v>Grupos</v>
      </c>
      <c r="F236" s="10" t="str">
        <f aca="false">IFERROR(INDEX(Fixture!$E$5:$E$108,MATCH(D236,Fixture!$A$5:$A$108,0)),"")</f>
        <v>España</v>
      </c>
      <c r="G236" s="10" t="str">
        <f aca="false">IFERROR(INDEX(Fixture!$F$5:$F$108,MATCH(D236,Fixture!$A$5:$A$108,0)),"")</f>
        <v>Alemania</v>
      </c>
      <c r="H236" s="22" t="n">
        <f aca="false">IFERROR(INDEX(Fixture!$G$5:$G$108,MATCH(D236,Fixture!$A$5:$A$108,0)),"")</f>
        <v>46192.75</v>
      </c>
      <c r="I236" s="23"/>
      <c r="J236" s="23"/>
      <c r="K236" s="10" t="str">
        <f aca="false">IFERROR(INDEX(Fixture!$I$5:$I$108,MATCH(D236,Fixture!$A$5:$A$108,0))&amp;"-"&amp;INDEX(Fixture!$J$5:$J$108,MATCH(D236,Fixture!$A$5:$A$108,0)),"")</f>
        <v>-</v>
      </c>
      <c r="L236" s="9" t="str">
        <f aca="false">IF(M236&lt;&gt;"FINALIZADO","",IF(OR(ISBLANK(I236),ISBLANK(J236)),0,IF(AND(I236=IFERROR(INDEX(Fixture!$I$5:$I$108,MATCH(D236,Fixture!$A$5:$A$108,0)),"-999"),J236=IFERROR(INDEX(Fixture!$J$5:$J$108,MATCH(D236,Fixture!$A$5:$A$108,0)),"-999")),IFERROR(INDEX(Fases!$C$5:$C$10,MATCH(IFERROR(INDEX(Fixture!$B$5:$B$108,MATCH(D236,Fixture!$A$5:$A$108,0)),0),Fases!$A$5:$A$10,0)),0),IF(OR(AND(I236&gt;J236,IFERROR(INDEX(Fixture!$I$5:$I$108,MATCH(D236,Fixture!$A$5:$A$108,0)),0)&gt;IFERROR(INDEX(Fixture!$J$5:$J$108,MATCH(D236,Fixture!$A$5:$A$108,0)),0)),AND(I236&lt;J236,IFERROR(INDEX(Fixture!$I$5:$I$108,MATCH(D236,Fixture!$A$5:$A$108,0)),0)&lt;IFERROR(INDEX(Fixture!$J$5:$J$108,MATCH(D236,Fixture!$A$5:$A$108,0)),0)),AND(I236=J236,IFERROR(INDEX(Fixture!$I$5:$I$108,MATCH(D236,Fixture!$A$5:$A$108,0)),0)=IFERROR(INDEX(Fixture!$J$5:$J$108,MATCH(D236,Fixture!$A$5:$A$108,0)),0))),IFERROR(INDEX(Fases!$D$5:$D$10,MATCH(IFERROR(INDEX(Fixture!$B$5:$B$108,MATCH(D236,Fixture!$A$5:$A$108,0)),0),Fases!$A$5:$A$10,0)),0),0))))</f>
        <v/>
      </c>
      <c r="M236" s="10" t="str">
        <f aca="false">IFERROR(INDEX(Fixture!$K$5:$K$108,MATCH(D236,Fixture!$A$5:$A$108,0)),"")</f>
        <v>PENDIENTE</v>
      </c>
    </row>
    <row r="237" customFormat="false" ht="15" hidden="false" customHeight="false" outlineLevel="0" collapsed="false">
      <c r="A237" s="11" t="n">
        <v>233</v>
      </c>
      <c r="B237" s="11" t="n">
        <v>3</v>
      </c>
      <c r="C237" s="12" t="str">
        <f aca="false">IFERROR(INDEX(Usuarios!$C$5:$C$200,MATCH(B237,Usuarios!$A$5:$A$200,0)),"")</f>
        <v>juanpe</v>
      </c>
      <c r="D237" s="11" t="n">
        <v>27</v>
      </c>
      <c r="E237" s="12" t="str">
        <f aca="false">IFERROR(INDEX(Fases!$B$5:$B$10,MATCH(INDEX(Fixture!$B$5:$B$108,MATCH(D237,Fixture!$A$5:$A$108,0)),Fases!$A$5:$A$10,0)),"")</f>
        <v>Grupos</v>
      </c>
      <c r="F237" s="12" t="str">
        <f aca="false">IFERROR(INDEX(Fixture!$E$5:$E$108,MATCH(D237,Fixture!$A$5:$A$108,0)),"")</f>
        <v>España</v>
      </c>
      <c r="G237" s="12" t="str">
        <f aca="false">IFERROR(INDEX(Fixture!$F$5:$F$108,MATCH(D237,Fixture!$A$5:$A$108,0)),"")</f>
        <v>Portugal</v>
      </c>
      <c r="H237" s="20" t="n">
        <f aca="false">IFERROR(INDEX(Fixture!$G$5:$G$108,MATCH(D237,Fixture!$A$5:$A$108,0)),"")</f>
        <v>46192.875</v>
      </c>
      <c r="I237" s="21"/>
      <c r="J237" s="21"/>
      <c r="K237" s="12" t="str">
        <f aca="false">IFERROR(INDEX(Fixture!$I$5:$I$108,MATCH(D237,Fixture!$A$5:$A$108,0))&amp;"-"&amp;INDEX(Fixture!$J$5:$J$108,MATCH(D237,Fixture!$A$5:$A$108,0)),"")</f>
        <v>-</v>
      </c>
      <c r="L237" s="11" t="str">
        <f aca="false">IF(M237&lt;&gt;"FINALIZADO","",IF(OR(ISBLANK(I237),ISBLANK(J237)),0,IF(AND(I237=IFERROR(INDEX(Fixture!$I$5:$I$108,MATCH(D237,Fixture!$A$5:$A$108,0)),"-999"),J237=IFERROR(INDEX(Fixture!$J$5:$J$108,MATCH(D237,Fixture!$A$5:$A$108,0)),"-999")),IFERROR(INDEX(Fases!$C$5:$C$10,MATCH(IFERROR(INDEX(Fixture!$B$5:$B$108,MATCH(D237,Fixture!$A$5:$A$108,0)),0),Fases!$A$5:$A$10,0)),0),IF(OR(AND(I237&gt;J237,IFERROR(INDEX(Fixture!$I$5:$I$108,MATCH(D237,Fixture!$A$5:$A$108,0)),0)&gt;IFERROR(INDEX(Fixture!$J$5:$J$108,MATCH(D237,Fixture!$A$5:$A$108,0)),0)),AND(I237&lt;J237,IFERROR(INDEX(Fixture!$I$5:$I$108,MATCH(D237,Fixture!$A$5:$A$108,0)),0)&lt;IFERROR(INDEX(Fixture!$J$5:$J$108,MATCH(D237,Fixture!$A$5:$A$108,0)),0)),AND(I237=J237,IFERROR(INDEX(Fixture!$I$5:$I$108,MATCH(D237,Fixture!$A$5:$A$108,0)),0)=IFERROR(INDEX(Fixture!$J$5:$J$108,MATCH(D237,Fixture!$A$5:$A$108,0)),0))),IFERROR(INDEX(Fases!$D$5:$D$10,MATCH(IFERROR(INDEX(Fixture!$B$5:$B$108,MATCH(D237,Fixture!$A$5:$A$108,0)),0),Fases!$A$5:$A$10,0)),0),0))))</f>
        <v/>
      </c>
      <c r="M237" s="12" t="str">
        <f aca="false">IFERROR(INDEX(Fixture!$K$5:$K$108,MATCH(D237,Fixture!$A$5:$A$108,0)),"")</f>
        <v>PENDIENTE</v>
      </c>
    </row>
    <row r="238" customFormat="false" ht="15" hidden="false" customHeight="false" outlineLevel="0" collapsed="false">
      <c r="A238" s="9" t="n">
        <v>234</v>
      </c>
      <c r="B238" s="9" t="n">
        <v>3</v>
      </c>
      <c r="C238" s="10" t="str">
        <f aca="false">IFERROR(INDEX(Usuarios!$C$5:$C$200,MATCH(B238,Usuarios!$A$5:$A$200,0)),"")</f>
        <v>juanpe</v>
      </c>
      <c r="D238" s="9" t="n">
        <v>28</v>
      </c>
      <c r="E238" s="10" t="str">
        <f aca="false">IFERROR(INDEX(Fases!$B$5:$B$10,MATCH(INDEX(Fixture!$B$5:$B$108,MATCH(D238,Fixture!$A$5:$A$108,0)),Fases!$A$5:$A$10,0)),"")</f>
        <v>Grupos</v>
      </c>
      <c r="F238" s="10" t="str">
        <f aca="false">IFERROR(INDEX(Fixture!$E$5:$E$108,MATCH(D238,Fixture!$A$5:$A$108,0)),"")</f>
        <v>Francia</v>
      </c>
      <c r="G238" s="10" t="str">
        <f aca="false">IFERROR(INDEX(Fixture!$F$5:$F$108,MATCH(D238,Fixture!$A$5:$A$108,0)),"")</f>
        <v>Alemania</v>
      </c>
      <c r="H238" s="22" t="n">
        <f aca="false">IFERROR(INDEX(Fixture!$G$5:$G$108,MATCH(D238,Fixture!$A$5:$A$108,0)),"")</f>
        <v>46193</v>
      </c>
      <c r="I238" s="23"/>
      <c r="J238" s="23"/>
      <c r="K238" s="10" t="str">
        <f aca="false">IFERROR(INDEX(Fixture!$I$5:$I$108,MATCH(D238,Fixture!$A$5:$A$108,0))&amp;"-"&amp;INDEX(Fixture!$J$5:$J$108,MATCH(D238,Fixture!$A$5:$A$108,0)),"")</f>
        <v>-</v>
      </c>
      <c r="L238" s="9" t="str">
        <f aca="false">IF(M238&lt;&gt;"FINALIZADO","",IF(OR(ISBLANK(I238),ISBLANK(J238)),0,IF(AND(I238=IFERROR(INDEX(Fixture!$I$5:$I$108,MATCH(D238,Fixture!$A$5:$A$108,0)),"-999"),J238=IFERROR(INDEX(Fixture!$J$5:$J$108,MATCH(D238,Fixture!$A$5:$A$108,0)),"-999")),IFERROR(INDEX(Fases!$C$5:$C$10,MATCH(IFERROR(INDEX(Fixture!$B$5:$B$108,MATCH(D238,Fixture!$A$5:$A$108,0)),0),Fases!$A$5:$A$10,0)),0),IF(OR(AND(I238&gt;J238,IFERROR(INDEX(Fixture!$I$5:$I$108,MATCH(D238,Fixture!$A$5:$A$108,0)),0)&gt;IFERROR(INDEX(Fixture!$J$5:$J$108,MATCH(D238,Fixture!$A$5:$A$108,0)),0)),AND(I238&lt;J238,IFERROR(INDEX(Fixture!$I$5:$I$108,MATCH(D238,Fixture!$A$5:$A$108,0)),0)&lt;IFERROR(INDEX(Fixture!$J$5:$J$108,MATCH(D238,Fixture!$A$5:$A$108,0)),0)),AND(I238=J238,IFERROR(INDEX(Fixture!$I$5:$I$108,MATCH(D238,Fixture!$A$5:$A$108,0)),0)=IFERROR(INDEX(Fixture!$J$5:$J$108,MATCH(D238,Fixture!$A$5:$A$108,0)),0))),IFERROR(INDEX(Fases!$D$5:$D$10,MATCH(IFERROR(INDEX(Fixture!$B$5:$B$108,MATCH(D238,Fixture!$A$5:$A$108,0)),0),Fases!$A$5:$A$10,0)),0),0))))</f>
        <v/>
      </c>
      <c r="M238" s="10" t="str">
        <f aca="false">IFERROR(INDEX(Fixture!$K$5:$K$108,MATCH(D238,Fixture!$A$5:$A$108,0)),"")</f>
        <v>PENDIENTE</v>
      </c>
    </row>
    <row r="239" customFormat="false" ht="15" hidden="false" customHeight="false" outlineLevel="0" collapsed="false">
      <c r="A239" s="11" t="n">
        <v>235</v>
      </c>
      <c r="B239" s="11" t="n">
        <v>3</v>
      </c>
      <c r="C239" s="12" t="str">
        <f aca="false">IFERROR(INDEX(Usuarios!$C$5:$C$200,MATCH(B239,Usuarios!$A$5:$A$200,0)),"")</f>
        <v>juanpe</v>
      </c>
      <c r="D239" s="11" t="n">
        <v>29</v>
      </c>
      <c r="E239" s="12" t="str">
        <f aca="false">IFERROR(INDEX(Fases!$B$5:$B$10,MATCH(INDEX(Fixture!$B$5:$B$108,MATCH(D239,Fixture!$A$5:$A$108,0)),Fases!$A$5:$A$10,0)),"")</f>
        <v>Grupos</v>
      </c>
      <c r="F239" s="12" t="str">
        <f aca="false">IFERROR(INDEX(Fixture!$E$5:$E$108,MATCH(D239,Fixture!$A$5:$A$108,0)),"")</f>
        <v>Francia</v>
      </c>
      <c r="G239" s="12" t="str">
        <f aca="false">IFERROR(INDEX(Fixture!$F$5:$F$108,MATCH(D239,Fixture!$A$5:$A$108,0)),"")</f>
        <v>Portugal</v>
      </c>
      <c r="H239" s="20" t="n">
        <f aca="false">IFERROR(INDEX(Fixture!$G$5:$G$108,MATCH(D239,Fixture!$A$5:$A$108,0)),"")</f>
        <v>46193.625</v>
      </c>
      <c r="I239" s="21"/>
      <c r="J239" s="21"/>
      <c r="K239" s="12" t="str">
        <f aca="false">IFERROR(INDEX(Fixture!$I$5:$I$108,MATCH(D239,Fixture!$A$5:$A$108,0))&amp;"-"&amp;INDEX(Fixture!$J$5:$J$108,MATCH(D239,Fixture!$A$5:$A$108,0)),"")</f>
        <v>-</v>
      </c>
      <c r="L239" s="11" t="str">
        <f aca="false">IF(M239&lt;&gt;"FINALIZADO","",IF(OR(ISBLANK(I239),ISBLANK(J239)),0,IF(AND(I239=IFERROR(INDEX(Fixture!$I$5:$I$108,MATCH(D239,Fixture!$A$5:$A$108,0)),"-999"),J239=IFERROR(INDEX(Fixture!$J$5:$J$108,MATCH(D239,Fixture!$A$5:$A$108,0)),"-999")),IFERROR(INDEX(Fases!$C$5:$C$10,MATCH(IFERROR(INDEX(Fixture!$B$5:$B$108,MATCH(D239,Fixture!$A$5:$A$108,0)),0),Fases!$A$5:$A$10,0)),0),IF(OR(AND(I239&gt;J239,IFERROR(INDEX(Fixture!$I$5:$I$108,MATCH(D239,Fixture!$A$5:$A$108,0)),0)&gt;IFERROR(INDEX(Fixture!$J$5:$J$108,MATCH(D239,Fixture!$A$5:$A$108,0)),0)),AND(I239&lt;J239,IFERROR(INDEX(Fixture!$I$5:$I$108,MATCH(D239,Fixture!$A$5:$A$108,0)),0)&lt;IFERROR(INDEX(Fixture!$J$5:$J$108,MATCH(D239,Fixture!$A$5:$A$108,0)),0)),AND(I239=J239,IFERROR(INDEX(Fixture!$I$5:$I$108,MATCH(D239,Fixture!$A$5:$A$108,0)),0)=IFERROR(INDEX(Fixture!$J$5:$J$108,MATCH(D239,Fixture!$A$5:$A$108,0)),0))),IFERROR(INDEX(Fases!$D$5:$D$10,MATCH(IFERROR(INDEX(Fixture!$B$5:$B$108,MATCH(D239,Fixture!$A$5:$A$108,0)),0),Fases!$A$5:$A$10,0)),0),0))))</f>
        <v/>
      </c>
      <c r="M239" s="12" t="str">
        <f aca="false">IFERROR(INDEX(Fixture!$K$5:$K$108,MATCH(D239,Fixture!$A$5:$A$108,0)),"")</f>
        <v>PENDIENTE</v>
      </c>
    </row>
    <row r="240" customFormat="false" ht="15" hidden="false" customHeight="false" outlineLevel="0" collapsed="false">
      <c r="A240" s="9" t="n">
        <v>236</v>
      </c>
      <c r="B240" s="9" t="n">
        <v>3</v>
      </c>
      <c r="C240" s="10" t="str">
        <f aca="false">IFERROR(INDEX(Usuarios!$C$5:$C$200,MATCH(B240,Usuarios!$A$5:$A$200,0)),"")</f>
        <v>juanpe</v>
      </c>
      <c r="D240" s="9" t="n">
        <v>30</v>
      </c>
      <c r="E240" s="10" t="str">
        <f aca="false">IFERROR(INDEX(Fases!$B$5:$B$10,MATCH(INDEX(Fixture!$B$5:$B$108,MATCH(D240,Fixture!$A$5:$A$108,0)),Fases!$A$5:$A$10,0)),"")</f>
        <v>Grupos</v>
      </c>
      <c r="F240" s="10" t="str">
        <f aca="false">IFERROR(INDEX(Fixture!$E$5:$E$108,MATCH(D240,Fixture!$A$5:$A$108,0)),"")</f>
        <v>Alemania</v>
      </c>
      <c r="G240" s="10" t="str">
        <f aca="false">IFERROR(INDEX(Fixture!$F$5:$F$108,MATCH(D240,Fixture!$A$5:$A$108,0)),"")</f>
        <v>Portugal</v>
      </c>
      <c r="H240" s="22" t="n">
        <f aca="false">IFERROR(INDEX(Fixture!$G$5:$G$108,MATCH(D240,Fixture!$A$5:$A$108,0)),"")</f>
        <v>46193.75</v>
      </c>
      <c r="I240" s="23"/>
      <c r="J240" s="23"/>
      <c r="K240" s="10" t="str">
        <f aca="false">IFERROR(INDEX(Fixture!$I$5:$I$108,MATCH(D240,Fixture!$A$5:$A$108,0))&amp;"-"&amp;INDEX(Fixture!$J$5:$J$108,MATCH(D240,Fixture!$A$5:$A$108,0)),"")</f>
        <v>-</v>
      </c>
      <c r="L240" s="9" t="str">
        <f aca="false">IF(M240&lt;&gt;"FINALIZADO","",IF(OR(ISBLANK(I240),ISBLANK(J240)),0,IF(AND(I240=IFERROR(INDEX(Fixture!$I$5:$I$108,MATCH(D240,Fixture!$A$5:$A$108,0)),"-999"),J240=IFERROR(INDEX(Fixture!$J$5:$J$108,MATCH(D240,Fixture!$A$5:$A$108,0)),"-999")),IFERROR(INDEX(Fases!$C$5:$C$10,MATCH(IFERROR(INDEX(Fixture!$B$5:$B$108,MATCH(D240,Fixture!$A$5:$A$108,0)),0),Fases!$A$5:$A$10,0)),0),IF(OR(AND(I240&gt;J240,IFERROR(INDEX(Fixture!$I$5:$I$108,MATCH(D240,Fixture!$A$5:$A$108,0)),0)&gt;IFERROR(INDEX(Fixture!$J$5:$J$108,MATCH(D240,Fixture!$A$5:$A$108,0)),0)),AND(I240&lt;J240,IFERROR(INDEX(Fixture!$I$5:$I$108,MATCH(D240,Fixture!$A$5:$A$108,0)),0)&lt;IFERROR(INDEX(Fixture!$J$5:$J$108,MATCH(D240,Fixture!$A$5:$A$108,0)),0)),AND(I240=J240,IFERROR(INDEX(Fixture!$I$5:$I$108,MATCH(D240,Fixture!$A$5:$A$108,0)),0)=IFERROR(INDEX(Fixture!$J$5:$J$108,MATCH(D240,Fixture!$A$5:$A$108,0)),0))),IFERROR(INDEX(Fases!$D$5:$D$10,MATCH(IFERROR(INDEX(Fixture!$B$5:$B$108,MATCH(D240,Fixture!$A$5:$A$108,0)),0),Fases!$A$5:$A$10,0)),0),0))))</f>
        <v/>
      </c>
      <c r="M240" s="10" t="str">
        <f aca="false">IFERROR(INDEX(Fixture!$K$5:$K$108,MATCH(D240,Fixture!$A$5:$A$108,0)),"")</f>
        <v>PENDIENTE</v>
      </c>
    </row>
    <row r="241" customFormat="false" ht="15" hidden="false" customHeight="false" outlineLevel="0" collapsed="false">
      <c r="A241" s="11" t="n">
        <v>237</v>
      </c>
      <c r="B241" s="11" t="n">
        <v>3</v>
      </c>
      <c r="C241" s="12" t="str">
        <f aca="false">IFERROR(INDEX(Usuarios!$C$5:$C$200,MATCH(B241,Usuarios!$A$5:$A$200,0)),"")</f>
        <v>juanpe</v>
      </c>
      <c r="D241" s="11" t="n">
        <v>31</v>
      </c>
      <c r="E241" s="12" t="str">
        <f aca="false">IFERROR(INDEX(Fases!$B$5:$B$10,MATCH(INDEX(Fixture!$B$5:$B$108,MATCH(D241,Fixture!$A$5:$A$108,0)),Fases!$A$5:$A$10,0)),"")</f>
        <v>Grupos</v>
      </c>
      <c r="F241" s="12" t="str">
        <f aca="false">IFERROR(INDEX(Fixture!$E$5:$E$108,MATCH(D241,Fixture!$A$5:$A$108,0)),"")</f>
        <v>Inglaterra</v>
      </c>
      <c r="G241" s="12" t="str">
        <f aca="false">IFERROR(INDEX(Fixture!$F$5:$F$108,MATCH(D241,Fixture!$A$5:$A$108,0)),"")</f>
        <v>Italia</v>
      </c>
      <c r="H241" s="20" t="n">
        <f aca="false">IFERROR(INDEX(Fixture!$G$5:$G$108,MATCH(D241,Fixture!$A$5:$A$108,0)),"")</f>
        <v>46194.625</v>
      </c>
      <c r="I241" s="21"/>
      <c r="J241" s="21"/>
      <c r="K241" s="12" t="str">
        <f aca="false">IFERROR(INDEX(Fixture!$I$5:$I$108,MATCH(D241,Fixture!$A$5:$A$108,0))&amp;"-"&amp;INDEX(Fixture!$J$5:$J$108,MATCH(D241,Fixture!$A$5:$A$108,0)),"")</f>
        <v>-</v>
      </c>
      <c r="L241" s="11" t="str">
        <f aca="false">IF(M241&lt;&gt;"FINALIZADO","",IF(OR(ISBLANK(I241),ISBLANK(J241)),0,IF(AND(I241=IFERROR(INDEX(Fixture!$I$5:$I$108,MATCH(D241,Fixture!$A$5:$A$108,0)),"-999"),J241=IFERROR(INDEX(Fixture!$J$5:$J$108,MATCH(D241,Fixture!$A$5:$A$108,0)),"-999")),IFERROR(INDEX(Fases!$C$5:$C$10,MATCH(IFERROR(INDEX(Fixture!$B$5:$B$108,MATCH(D241,Fixture!$A$5:$A$108,0)),0),Fases!$A$5:$A$10,0)),0),IF(OR(AND(I241&gt;J241,IFERROR(INDEX(Fixture!$I$5:$I$108,MATCH(D241,Fixture!$A$5:$A$108,0)),0)&gt;IFERROR(INDEX(Fixture!$J$5:$J$108,MATCH(D241,Fixture!$A$5:$A$108,0)),0)),AND(I241&lt;J241,IFERROR(INDEX(Fixture!$I$5:$I$108,MATCH(D241,Fixture!$A$5:$A$108,0)),0)&lt;IFERROR(INDEX(Fixture!$J$5:$J$108,MATCH(D241,Fixture!$A$5:$A$108,0)),0)),AND(I241=J241,IFERROR(INDEX(Fixture!$I$5:$I$108,MATCH(D241,Fixture!$A$5:$A$108,0)),0)=IFERROR(INDEX(Fixture!$J$5:$J$108,MATCH(D241,Fixture!$A$5:$A$108,0)),0))),IFERROR(INDEX(Fases!$D$5:$D$10,MATCH(IFERROR(INDEX(Fixture!$B$5:$B$108,MATCH(D241,Fixture!$A$5:$A$108,0)),0),Fases!$A$5:$A$10,0)),0),0))))</f>
        <v/>
      </c>
      <c r="M241" s="12" t="str">
        <f aca="false">IFERROR(INDEX(Fixture!$K$5:$K$108,MATCH(D241,Fixture!$A$5:$A$108,0)),"")</f>
        <v>PENDIENTE</v>
      </c>
    </row>
    <row r="242" customFormat="false" ht="15" hidden="false" customHeight="false" outlineLevel="0" collapsed="false">
      <c r="A242" s="9" t="n">
        <v>238</v>
      </c>
      <c r="B242" s="9" t="n">
        <v>3</v>
      </c>
      <c r="C242" s="10" t="str">
        <f aca="false">IFERROR(INDEX(Usuarios!$C$5:$C$200,MATCH(B242,Usuarios!$A$5:$A$200,0)),"")</f>
        <v>juanpe</v>
      </c>
      <c r="D242" s="9" t="n">
        <v>32</v>
      </c>
      <c r="E242" s="10" t="str">
        <f aca="false">IFERROR(INDEX(Fases!$B$5:$B$10,MATCH(INDEX(Fixture!$B$5:$B$108,MATCH(D242,Fixture!$A$5:$A$108,0)),Fases!$A$5:$A$10,0)),"")</f>
        <v>Grupos</v>
      </c>
      <c r="F242" s="10" t="str">
        <f aca="false">IFERROR(INDEX(Fixture!$E$5:$E$108,MATCH(D242,Fixture!$A$5:$A$108,0)),"")</f>
        <v>Inglaterra</v>
      </c>
      <c r="G242" s="10" t="str">
        <f aca="false">IFERROR(INDEX(Fixture!$F$5:$F$108,MATCH(D242,Fixture!$A$5:$A$108,0)),"")</f>
        <v>Países Bajos</v>
      </c>
      <c r="H242" s="22" t="n">
        <f aca="false">IFERROR(INDEX(Fixture!$G$5:$G$108,MATCH(D242,Fixture!$A$5:$A$108,0)),"")</f>
        <v>46194.75</v>
      </c>
      <c r="I242" s="23"/>
      <c r="J242" s="23"/>
      <c r="K242" s="10" t="str">
        <f aca="false">IFERROR(INDEX(Fixture!$I$5:$I$108,MATCH(D242,Fixture!$A$5:$A$108,0))&amp;"-"&amp;INDEX(Fixture!$J$5:$J$108,MATCH(D242,Fixture!$A$5:$A$108,0)),"")</f>
        <v>-</v>
      </c>
      <c r="L242" s="9" t="str">
        <f aca="false">IF(M242&lt;&gt;"FINALIZADO","",IF(OR(ISBLANK(I242),ISBLANK(J242)),0,IF(AND(I242=IFERROR(INDEX(Fixture!$I$5:$I$108,MATCH(D242,Fixture!$A$5:$A$108,0)),"-999"),J242=IFERROR(INDEX(Fixture!$J$5:$J$108,MATCH(D242,Fixture!$A$5:$A$108,0)),"-999")),IFERROR(INDEX(Fases!$C$5:$C$10,MATCH(IFERROR(INDEX(Fixture!$B$5:$B$108,MATCH(D242,Fixture!$A$5:$A$108,0)),0),Fases!$A$5:$A$10,0)),0),IF(OR(AND(I242&gt;J242,IFERROR(INDEX(Fixture!$I$5:$I$108,MATCH(D242,Fixture!$A$5:$A$108,0)),0)&gt;IFERROR(INDEX(Fixture!$J$5:$J$108,MATCH(D242,Fixture!$A$5:$A$108,0)),0)),AND(I242&lt;J242,IFERROR(INDEX(Fixture!$I$5:$I$108,MATCH(D242,Fixture!$A$5:$A$108,0)),0)&lt;IFERROR(INDEX(Fixture!$J$5:$J$108,MATCH(D242,Fixture!$A$5:$A$108,0)),0)),AND(I242=J242,IFERROR(INDEX(Fixture!$I$5:$I$108,MATCH(D242,Fixture!$A$5:$A$108,0)),0)=IFERROR(INDEX(Fixture!$J$5:$J$108,MATCH(D242,Fixture!$A$5:$A$108,0)),0))),IFERROR(INDEX(Fases!$D$5:$D$10,MATCH(IFERROR(INDEX(Fixture!$B$5:$B$108,MATCH(D242,Fixture!$A$5:$A$108,0)),0),Fases!$A$5:$A$10,0)),0),0))))</f>
        <v/>
      </c>
      <c r="M242" s="10" t="str">
        <f aca="false">IFERROR(INDEX(Fixture!$K$5:$K$108,MATCH(D242,Fixture!$A$5:$A$108,0)),"")</f>
        <v>PENDIENTE</v>
      </c>
    </row>
    <row r="243" customFormat="false" ht="15" hidden="false" customHeight="false" outlineLevel="0" collapsed="false">
      <c r="A243" s="11" t="n">
        <v>239</v>
      </c>
      <c r="B243" s="11" t="n">
        <v>3</v>
      </c>
      <c r="C243" s="12" t="str">
        <f aca="false">IFERROR(INDEX(Usuarios!$C$5:$C$200,MATCH(B243,Usuarios!$A$5:$A$200,0)),"")</f>
        <v>juanpe</v>
      </c>
      <c r="D243" s="11" t="n">
        <v>33</v>
      </c>
      <c r="E243" s="12" t="str">
        <f aca="false">IFERROR(INDEX(Fases!$B$5:$B$10,MATCH(INDEX(Fixture!$B$5:$B$108,MATCH(D243,Fixture!$A$5:$A$108,0)),Fases!$A$5:$A$10,0)),"")</f>
        <v>Grupos</v>
      </c>
      <c r="F243" s="12" t="str">
        <f aca="false">IFERROR(INDEX(Fixture!$E$5:$E$108,MATCH(D243,Fixture!$A$5:$A$108,0)),"")</f>
        <v>Inglaterra</v>
      </c>
      <c r="G243" s="12" t="str">
        <f aca="false">IFERROR(INDEX(Fixture!$F$5:$F$108,MATCH(D243,Fixture!$A$5:$A$108,0)),"")</f>
        <v>Bélgica</v>
      </c>
      <c r="H243" s="20" t="n">
        <f aca="false">IFERROR(INDEX(Fixture!$G$5:$G$108,MATCH(D243,Fixture!$A$5:$A$108,0)),"")</f>
        <v>46194.875</v>
      </c>
      <c r="I243" s="21"/>
      <c r="J243" s="21"/>
      <c r="K243" s="12" t="str">
        <f aca="false">IFERROR(INDEX(Fixture!$I$5:$I$108,MATCH(D243,Fixture!$A$5:$A$108,0))&amp;"-"&amp;INDEX(Fixture!$J$5:$J$108,MATCH(D243,Fixture!$A$5:$A$108,0)),"")</f>
        <v>-</v>
      </c>
      <c r="L243" s="11" t="str">
        <f aca="false">IF(M243&lt;&gt;"FINALIZADO","",IF(OR(ISBLANK(I243),ISBLANK(J243)),0,IF(AND(I243=IFERROR(INDEX(Fixture!$I$5:$I$108,MATCH(D243,Fixture!$A$5:$A$108,0)),"-999"),J243=IFERROR(INDEX(Fixture!$J$5:$J$108,MATCH(D243,Fixture!$A$5:$A$108,0)),"-999")),IFERROR(INDEX(Fases!$C$5:$C$10,MATCH(IFERROR(INDEX(Fixture!$B$5:$B$108,MATCH(D243,Fixture!$A$5:$A$108,0)),0),Fases!$A$5:$A$10,0)),0),IF(OR(AND(I243&gt;J243,IFERROR(INDEX(Fixture!$I$5:$I$108,MATCH(D243,Fixture!$A$5:$A$108,0)),0)&gt;IFERROR(INDEX(Fixture!$J$5:$J$108,MATCH(D243,Fixture!$A$5:$A$108,0)),0)),AND(I243&lt;J243,IFERROR(INDEX(Fixture!$I$5:$I$108,MATCH(D243,Fixture!$A$5:$A$108,0)),0)&lt;IFERROR(INDEX(Fixture!$J$5:$J$108,MATCH(D243,Fixture!$A$5:$A$108,0)),0)),AND(I243=J243,IFERROR(INDEX(Fixture!$I$5:$I$108,MATCH(D243,Fixture!$A$5:$A$108,0)),0)=IFERROR(INDEX(Fixture!$J$5:$J$108,MATCH(D243,Fixture!$A$5:$A$108,0)),0))),IFERROR(INDEX(Fases!$D$5:$D$10,MATCH(IFERROR(INDEX(Fixture!$B$5:$B$108,MATCH(D243,Fixture!$A$5:$A$108,0)),0),Fases!$A$5:$A$10,0)),0),0))))</f>
        <v/>
      </c>
      <c r="M243" s="12" t="str">
        <f aca="false">IFERROR(INDEX(Fixture!$K$5:$K$108,MATCH(D243,Fixture!$A$5:$A$108,0)),"")</f>
        <v>PENDIENTE</v>
      </c>
    </row>
    <row r="244" customFormat="false" ht="15" hidden="false" customHeight="false" outlineLevel="0" collapsed="false">
      <c r="A244" s="9" t="n">
        <v>240</v>
      </c>
      <c r="B244" s="9" t="n">
        <v>3</v>
      </c>
      <c r="C244" s="10" t="str">
        <f aca="false">IFERROR(INDEX(Usuarios!$C$5:$C$200,MATCH(B244,Usuarios!$A$5:$A$200,0)),"")</f>
        <v>juanpe</v>
      </c>
      <c r="D244" s="9" t="n">
        <v>34</v>
      </c>
      <c r="E244" s="10" t="str">
        <f aca="false">IFERROR(INDEX(Fases!$B$5:$B$10,MATCH(INDEX(Fixture!$B$5:$B$108,MATCH(D244,Fixture!$A$5:$A$108,0)),Fases!$A$5:$A$10,0)),"")</f>
        <v>Grupos</v>
      </c>
      <c r="F244" s="10" t="str">
        <f aca="false">IFERROR(INDEX(Fixture!$E$5:$E$108,MATCH(D244,Fixture!$A$5:$A$108,0)),"")</f>
        <v>Italia</v>
      </c>
      <c r="G244" s="10" t="str">
        <f aca="false">IFERROR(INDEX(Fixture!$F$5:$F$108,MATCH(D244,Fixture!$A$5:$A$108,0)),"")</f>
        <v>Países Bajos</v>
      </c>
      <c r="H244" s="22" t="n">
        <f aca="false">IFERROR(INDEX(Fixture!$G$5:$G$108,MATCH(D244,Fixture!$A$5:$A$108,0)),"")</f>
        <v>46195</v>
      </c>
      <c r="I244" s="23"/>
      <c r="J244" s="23"/>
      <c r="K244" s="10" t="str">
        <f aca="false">IFERROR(INDEX(Fixture!$I$5:$I$108,MATCH(D244,Fixture!$A$5:$A$108,0))&amp;"-"&amp;INDEX(Fixture!$J$5:$J$108,MATCH(D244,Fixture!$A$5:$A$108,0)),"")</f>
        <v>-</v>
      </c>
      <c r="L244" s="9" t="str">
        <f aca="false">IF(M244&lt;&gt;"FINALIZADO","",IF(OR(ISBLANK(I244),ISBLANK(J244)),0,IF(AND(I244=IFERROR(INDEX(Fixture!$I$5:$I$108,MATCH(D244,Fixture!$A$5:$A$108,0)),"-999"),J244=IFERROR(INDEX(Fixture!$J$5:$J$108,MATCH(D244,Fixture!$A$5:$A$108,0)),"-999")),IFERROR(INDEX(Fases!$C$5:$C$10,MATCH(IFERROR(INDEX(Fixture!$B$5:$B$108,MATCH(D244,Fixture!$A$5:$A$108,0)),0),Fases!$A$5:$A$10,0)),0),IF(OR(AND(I244&gt;J244,IFERROR(INDEX(Fixture!$I$5:$I$108,MATCH(D244,Fixture!$A$5:$A$108,0)),0)&gt;IFERROR(INDEX(Fixture!$J$5:$J$108,MATCH(D244,Fixture!$A$5:$A$108,0)),0)),AND(I244&lt;J244,IFERROR(INDEX(Fixture!$I$5:$I$108,MATCH(D244,Fixture!$A$5:$A$108,0)),0)&lt;IFERROR(INDEX(Fixture!$J$5:$J$108,MATCH(D244,Fixture!$A$5:$A$108,0)),0)),AND(I244=J244,IFERROR(INDEX(Fixture!$I$5:$I$108,MATCH(D244,Fixture!$A$5:$A$108,0)),0)=IFERROR(INDEX(Fixture!$J$5:$J$108,MATCH(D244,Fixture!$A$5:$A$108,0)),0))),IFERROR(INDEX(Fases!$D$5:$D$10,MATCH(IFERROR(INDEX(Fixture!$B$5:$B$108,MATCH(D244,Fixture!$A$5:$A$108,0)),0),Fases!$A$5:$A$10,0)),0),0))))</f>
        <v/>
      </c>
      <c r="M244" s="10" t="str">
        <f aca="false">IFERROR(INDEX(Fixture!$K$5:$K$108,MATCH(D244,Fixture!$A$5:$A$108,0)),"")</f>
        <v>PENDIENTE</v>
      </c>
    </row>
    <row r="245" customFormat="false" ht="15" hidden="false" customHeight="false" outlineLevel="0" collapsed="false">
      <c r="A245" s="11" t="n">
        <v>241</v>
      </c>
      <c r="B245" s="11" t="n">
        <v>3</v>
      </c>
      <c r="C245" s="12" t="str">
        <f aca="false">IFERROR(INDEX(Usuarios!$C$5:$C$200,MATCH(B245,Usuarios!$A$5:$A$200,0)),"")</f>
        <v>juanpe</v>
      </c>
      <c r="D245" s="11" t="n">
        <v>35</v>
      </c>
      <c r="E245" s="12" t="str">
        <f aca="false">IFERROR(INDEX(Fases!$B$5:$B$10,MATCH(INDEX(Fixture!$B$5:$B$108,MATCH(D245,Fixture!$A$5:$A$108,0)),Fases!$A$5:$A$10,0)),"")</f>
        <v>Grupos</v>
      </c>
      <c r="F245" s="12" t="str">
        <f aca="false">IFERROR(INDEX(Fixture!$E$5:$E$108,MATCH(D245,Fixture!$A$5:$A$108,0)),"")</f>
        <v>Italia</v>
      </c>
      <c r="G245" s="12" t="str">
        <f aca="false">IFERROR(INDEX(Fixture!$F$5:$F$108,MATCH(D245,Fixture!$A$5:$A$108,0)),"")</f>
        <v>Bélgica</v>
      </c>
      <c r="H245" s="20" t="n">
        <f aca="false">IFERROR(INDEX(Fixture!$G$5:$G$108,MATCH(D245,Fixture!$A$5:$A$108,0)),"")</f>
        <v>46195.625</v>
      </c>
      <c r="I245" s="21"/>
      <c r="J245" s="21"/>
      <c r="K245" s="12" t="str">
        <f aca="false">IFERROR(INDEX(Fixture!$I$5:$I$108,MATCH(D245,Fixture!$A$5:$A$108,0))&amp;"-"&amp;INDEX(Fixture!$J$5:$J$108,MATCH(D245,Fixture!$A$5:$A$108,0)),"")</f>
        <v>-</v>
      </c>
      <c r="L245" s="11" t="str">
        <f aca="false">IF(M245&lt;&gt;"FINALIZADO","",IF(OR(ISBLANK(I245),ISBLANK(J245)),0,IF(AND(I245=IFERROR(INDEX(Fixture!$I$5:$I$108,MATCH(D245,Fixture!$A$5:$A$108,0)),"-999"),J245=IFERROR(INDEX(Fixture!$J$5:$J$108,MATCH(D245,Fixture!$A$5:$A$108,0)),"-999")),IFERROR(INDEX(Fases!$C$5:$C$10,MATCH(IFERROR(INDEX(Fixture!$B$5:$B$108,MATCH(D245,Fixture!$A$5:$A$108,0)),0),Fases!$A$5:$A$10,0)),0),IF(OR(AND(I245&gt;J245,IFERROR(INDEX(Fixture!$I$5:$I$108,MATCH(D245,Fixture!$A$5:$A$108,0)),0)&gt;IFERROR(INDEX(Fixture!$J$5:$J$108,MATCH(D245,Fixture!$A$5:$A$108,0)),0)),AND(I245&lt;J245,IFERROR(INDEX(Fixture!$I$5:$I$108,MATCH(D245,Fixture!$A$5:$A$108,0)),0)&lt;IFERROR(INDEX(Fixture!$J$5:$J$108,MATCH(D245,Fixture!$A$5:$A$108,0)),0)),AND(I245=J245,IFERROR(INDEX(Fixture!$I$5:$I$108,MATCH(D245,Fixture!$A$5:$A$108,0)),0)=IFERROR(INDEX(Fixture!$J$5:$J$108,MATCH(D245,Fixture!$A$5:$A$108,0)),0))),IFERROR(INDEX(Fases!$D$5:$D$10,MATCH(IFERROR(INDEX(Fixture!$B$5:$B$108,MATCH(D245,Fixture!$A$5:$A$108,0)),0),Fases!$A$5:$A$10,0)),0),0))))</f>
        <v/>
      </c>
      <c r="M245" s="12" t="str">
        <f aca="false">IFERROR(INDEX(Fixture!$K$5:$K$108,MATCH(D245,Fixture!$A$5:$A$108,0)),"")</f>
        <v>PENDIENTE</v>
      </c>
    </row>
    <row r="246" customFormat="false" ht="15" hidden="false" customHeight="false" outlineLevel="0" collapsed="false">
      <c r="A246" s="9" t="n">
        <v>242</v>
      </c>
      <c r="B246" s="9" t="n">
        <v>3</v>
      </c>
      <c r="C246" s="10" t="str">
        <f aca="false">IFERROR(INDEX(Usuarios!$C$5:$C$200,MATCH(B246,Usuarios!$A$5:$A$200,0)),"")</f>
        <v>juanpe</v>
      </c>
      <c r="D246" s="9" t="n">
        <v>36</v>
      </c>
      <c r="E246" s="10" t="str">
        <f aca="false">IFERROR(INDEX(Fases!$B$5:$B$10,MATCH(INDEX(Fixture!$B$5:$B$108,MATCH(D246,Fixture!$A$5:$A$108,0)),Fases!$A$5:$A$10,0)),"")</f>
        <v>Grupos</v>
      </c>
      <c r="F246" s="10" t="str">
        <f aca="false">IFERROR(INDEX(Fixture!$E$5:$E$108,MATCH(D246,Fixture!$A$5:$A$108,0)),"")</f>
        <v>Países Bajos</v>
      </c>
      <c r="G246" s="10" t="str">
        <f aca="false">IFERROR(INDEX(Fixture!$F$5:$F$108,MATCH(D246,Fixture!$A$5:$A$108,0)),"")</f>
        <v>Bélgica</v>
      </c>
      <c r="H246" s="22" t="n">
        <f aca="false">IFERROR(INDEX(Fixture!$G$5:$G$108,MATCH(D246,Fixture!$A$5:$A$108,0)),"")</f>
        <v>46195.75</v>
      </c>
      <c r="I246" s="23"/>
      <c r="J246" s="23"/>
      <c r="K246" s="10" t="str">
        <f aca="false">IFERROR(INDEX(Fixture!$I$5:$I$108,MATCH(D246,Fixture!$A$5:$A$108,0))&amp;"-"&amp;INDEX(Fixture!$J$5:$J$108,MATCH(D246,Fixture!$A$5:$A$108,0)),"")</f>
        <v>-</v>
      </c>
      <c r="L246" s="9" t="str">
        <f aca="false">IF(M246&lt;&gt;"FINALIZADO","",IF(OR(ISBLANK(I246),ISBLANK(J246)),0,IF(AND(I246=IFERROR(INDEX(Fixture!$I$5:$I$108,MATCH(D246,Fixture!$A$5:$A$108,0)),"-999"),J246=IFERROR(INDEX(Fixture!$J$5:$J$108,MATCH(D246,Fixture!$A$5:$A$108,0)),"-999")),IFERROR(INDEX(Fases!$C$5:$C$10,MATCH(IFERROR(INDEX(Fixture!$B$5:$B$108,MATCH(D246,Fixture!$A$5:$A$108,0)),0),Fases!$A$5:$A$10,0)),0),IF(OR(AND(I246&gt;J246,IFERROR(INDEX(Fixture!$I$5:$I$108,MATCH(D246,Fixture!$A$5:$A$108,0)),0)&gt;IFERROR(INDEX(Fixture!$J$5:$J$108,MATCH(D246,Fixture!$A$5:$A$108,0)),0)),AND(I246&lt;J246,IFERROR(INDEX(Fixture!$I$5:$I$108,MATCH(D246,Fixture!$A$5:$A$108,0)),0)&lt;IFERROR(INDEX(Fixture!$J$5:$J$108,MATCH(D246,Fixture!$A$5:$A$108,0)),0)),AND(I246=J246,IFERROR(INDEX(Fixture!$I$5:$I$108,MATCH(D246,Fixture!$A$5:$A$108,0)),0)=IFERROR(INDEX(Fixture!$J$5:$J$108,MATCH(D246,Fixture!$A$5:$A$108,0)),0))),IFERROR(INDEX(Fases!$D$5:$D$10,MATCH(IFERROR(INDEX(Fixture!$B$5:$B$108,MATCH(D246,Fixture!$A$5:$A$108,0)),0),Fases!$A$5:$A$10,0)),0),0))))</f>
        <v/>
      </c>
      <c r="M246" s="10" t="str">
        <f aca="false">IFERROR(INDEX(Fixture!$K$5:$K$108,MATCH(D246,Fixture!$A$5:$A$108,0)),"")</f>
        <v>PENDIENTE</v>
      </c>
    </row>
    <row r="247" customFormat="false" ht="15" hidden="false" customHeight="false" outlineLevel="0" collapsed="false">
      <c r="A247" s="11" t="n">
        <v>243</v>
      </c>
      <c r="B247" s="11" t="n">
        <v>3</v>
      </c>
      <c r="C247" s="12" t="str">
        <f aca="false">IFERROR(INDEX(Usuarios!$C$5:$C$200,MATCH(B247,Usuarios!$A$5:$A$200,0)),"")</f>
        <v>juanpe</v>
      </c>
      <c r="D247" s="11" t="n">
        <v>37</v>
      </c>
      <c r="E247" s="12" t="str">
        <f aca="false">IFERROR(INDEX(Fases!$B$5:$B$10,MATCH(INDEX(Fixture!$B$5:$B$108,MATCH(D247,Fixture!$A$5:$A$108,0)),Fases!$A$5:$A$10,0)),"")</f>
        <v>Grupos</v>
      </c>
      <c r="F247" s="12" t="str">
        <f aca="false">IFERROR(INDEX(Fixture!$E$5:$E$108,MATCH(D247,Fixture!$A$5:$A$108,0)),"")</f>
        <v>Croacia</v>
      </c>
      <c r="G247" s="12" t="str">
        <f aca="false">IFERROR(INDEX(Fixture!$F$5:$F$108,MATCH(D247,Fixture!$A$5:$A$108,0)),"")</f>
        <v>Suiza</v>
      </c>
      <c r="H247" s="20" t="n">
        <f aca="false">IFERROR(INDEX(Fixture!$G$5:$G$108,MATCH(D247,Fixture!$A$5:$A$108,0)),"")</f>
        <v>46196.625</v>
      </c>
      <c r="I247" s="21"/>
      <c r="J247" s="21"/>
      <c r="K247" s="12" t="str">
        <f aca="false">IFERROR(INDEX(Fixture!$I$5:$I$108,MATCH(D247,Fixture!$A$5:$A$108,0))&amp;"-"&amp;INDEX(Fixture!$J$5:$J$108,MATCH(D247,Fixture!$A$5:$A$108,0)),"")</f>
        <v>-</v>
      </c>
      <c r="L247" s="11" t="str">
        <f aca="false">IF(M247&lt;&gt;"FINALIZADO","",IF(OR(ISBLANK(I247),ISBLANK(J247)),0,IF(AND(I247=IFERROR(INDEX(Fixture!$I$5:$I$108,MATCH(D247,Fixture!$A$5:$A$108,0)),"-999"),J247=IFERROR(INDEX(Fixture!$J$5:$J$108,MATCH(D247,Fixture!$A$5:$A$108,0)),"-999")),IFERROR(INDEX(Fases!$C$5:$C$10,MATCH(IFERROR(INDEX(Fixture!$B$5:$B$108,MATCH(D247,Fixture!$A$5:$A$108,0)),0),Fases!$A$5:$A$10,0)),0),IF(OR(AND(I247&gt;J247,IFERROR(INDEX(Fixture!$I$5:$I$108,MATCH(D247,Fixture!$A$5:$A$108,0)),0)&gt;IFERROR(INDEX(Fixture!$J$5:$J$108,MATCH(D247,Fixture!$A$5:$A$108,0)),0)),AND(I247&lt;J247,IFERROR(INDEX(Fixture!$I$5:$I$108,MATCH(D247,Fixture!$A$5:$A$108,0)),0)&lt;IFERROR(INDEX(Fixture!$J$5:$J$108,MATCH(D247,Fixture!$A$5:$A$108,0)),0)),AND(I247=J247,IFERROR(INDEX(Fixture!$I$5:$I$108,MATCH(D247,Fixture!$A$5:$A$108,0)),0)=IFERROR(INDEX(Fixture!$J$5:$J$108,MATCH(D247,Fixture!$A$5:$A$108,0)),0))),IFERROR(INDEX(Fases!$D$5:$D$10,MATCH(IFERROR(INDEX(Fixture!$B$5:$B$108,MATCH(D247,Fixture!$A$5:$A$108,0)),0),Fases!$A$5:$A$10,0)),0),0))))</f>
        <v/>
      </c>
      <c r="M247" s="12" t="str">
        <f aca="false">IFERROR(INDEX(Fixture!$K$5:$K$108,MATCH(D247,Fixture!$A$5:$A$108,0)),"")</f>
        <v>PENDIENTE</v>
      </c>
    </row>
    <row r="248" customFormat="false" ht="15" hidden="false" customHeight="false" outlineLevel="0" collapsed="false">
      <c r="A248" s="9" t="n">
        <v>244</v>
      </c>
      <c r="B248" s="9" t="n">
        <v>3</v>
      </c>
      <c r="C248" s="10" t="str">
        <f aca="false">IFERROR(INDEX(Usuarios!$C$5:$C$200,MATCH(B248,Usuarios!$A$5:$A$200,0)),"")</f>
        <v>juanpe</v>
      </c>
      <c r="D248" s="9" t="n">
        <v>38</v>
      </c>
      <c r="E248" s="10" t="str">
        <f aca="false">IFERROR(INDEX(Fases!$B$5:$B$10,MATCH(INDEX(Fixture!$B$5:$B$108,MATCH(D248,Fixture!$A$5:$A$108,0)),Fases!$A$5:$A$10,0)),"")</f>
        <v>Grupos</v>
      </c>
      <c r="F248" s="10" t="str">
        <f aca="false">IFERROR(INDEX(Fixture!$E$5:$E$108,MATCH(D248,Fixture!$A$5:$A$108,0)),"")</f>
        <v>Croacia</v>
      </c>
      <c r="G248" s="10" t="str">
        <f aca="false">IFERROR(INDEX(Fixture!$F$5:$F$108,MATCH(D248,Fixture!$A$5:$A$108,0)),"")</f>
        <v>Austria</v>
      </c>
      <c r="H248" s="22" t="n">
        <f aca="false">IFERROR(INDEX(Fixture!$G$5:$G$108,MATCH(D248,Fixture!$A$5:$A$108,0)),"")</f>
        <v>46196.75</v>
      </c>
      <c r="I248" s="23"/>
      <c r="J248" s="23"/>
      <c r="K248" s="10" t="str">
        <f aca="false">IFERROR(INDEX(Fixture!$I$5:$I$108,MATCH(D248,Fixture!$A$5:$A$108,0))&amp;"-"&amp;INDEX(Fixture!$J$5:$J$108,MATCH(D248,Fixture!$A$5:$A$108,0)),"")</f>
        <v>-</v>
      </c>
      <c r="L248" s="9" t="str">
        <f aca="false">IF(M248&lt;&gt;"FINALIZADO","",IF(OR(ISBLANK(I248),ISBLANK(J248)),0,IF(AND(I248=IFERROR(INDEX(Fixture!$I$5:$I$108,MATCH(D248,Fixture!$A$5:$A$108,0)),"-999"),J248=IFERROR(INDEX(Fixture!$J$5:$J$108,MATCH(D248,Fixture!$A$5:$A$108,0)),"-999")),IFERROR(INDEX(Fases!$C$5:$C$10,MATCH(IFERROR(INDEX(Fixture!$B$5:$B$108,MATCH(D248,Fixture!$A$5:$A$108,0)),0),Fases!$A$5:$A$10,0)),0),IF(OR(AND(I248&gt;J248,IFERROR(INDEX(Fixture!$I$5:$I$108,MATCH(D248,Fixture!$A$5:$A$108,0)),0)&gt;IFERROR(INDEX(Fixture!$J$5:$J$108,MATCH(D248,Fixture!$A$5:$A$108,0)),0)),AND(I248&lt;J248,IFERROR(INDEX(Fixture!$I$5:$I$108,MATCH(D248,Fixture!$A$5:$A$108,0)),0)&lt;IFERROR(INDEX(Fixture!$J$5:$J$108,MATCH(D248,Fixture!$A$5:$A$108,0)),0)),AND(I248=J248,IFERROR(INDEX(Fixture!$I$5:$I$108,MATCH(D248,Fixture!$A$5:$A$108,0)),0)=IFERROR(INDEX(Fixture!$J$5:$J$108,MATCH(D248,Fixture!$A$5:$A$108,0)),0))),IFERROR(INDEX(Fases!$D$5:$D$10,MATCH(IFERROR(INDEX(Fixture!$B$5:$B$108,MATCH(D248,Fixture!$A$5:$A$108,0)),0),Fases!$A$5:$A$10,0)),0),0))))</f>
        <v/>
      </c>
      <c r="M248" s="10" t="str">
        <f aca="false">IFERROR(INDEX(Fixture!$K$5:$K$108,MATCH(D248,Fixture!$A$5:$A$108,0)),"")</f>
        <v>PENDIENTE</v>
      </c>
    </row>
    <row r="249" customFormat="false" ht="15" hidden="false" customHeight="false" outlineLevel="0" collapsed="false">
      <c r="A249" s="11" t="n">
        <v>245</v>
      </c>
      <c r="B249" s="11" t="n">
        <v>3</v>
      </c>
      <c r="C249" s="12" t="str">
        <f aca="false">IFERROR(INDEX(Usuarios!$C$5:$C$200,MATCH(B249,Usuarios!$A$5:$A$200,0)),"")</f>
        <v>juanpe</v>
      </c>
      <c r="D249" s="11" t="n">
        <v>39</v>
      </c>
      <c r="E249" s="12" t="str">
        <f aca="false">IFERROR(INDEX(Fases!$B$5:$B$10,MATCH(INDEX(Fixture!$B$5:$B$108,MATCH(D249,Fixture!$A$5:$A$108,0)),Fases!$A$5:$A$10,0)),"")</f>
        <v>Grupos</v>
      </c>
      <c r="F249" s="12" t="str">
        <f aca="false">IFERROR(INDEX(Fixture!$E$5:$E$108,MATCH(D249,Fixture!$A$5:$A$108,0)),"")</f>
        <v>Croacia</v>
      </c>
      <c r="G249" s="12" t="str">
        <f aca="false">IFERROR(INDEX(Fixture!$F$5:$F$108,MATCH(D249,Fixture!$A$5:$A$108,0)),"")</f>
        <v>Hungría</v>
      </c>
      <c r="H249" s="20" t="n">
        <f aca="false">IFERROR(INDEX(Fixture!$G$5:$G$108,MATCH(D249,Fixture!$A$5:$A$108,0)),"")</f>
        <v>46196.875</v>
      </c>
      <c r="I249" s="21"/>
      <c r="J249" s="21"/>
      <c r="K249" s="12" t="str">
        <f aca="false">IFERROR(INDEX(Fixture!$I$5:$I$108,MATCH(D249,Fixture!$A$5:$A$108,0))&amp;"-"&amp;INDEX(Fixture!$J$5:$J$108,MATCH(D249,Fixture!$A$5:$A$108,0)),"")</f>
        <v>-</v>
      </c>
      <c r="L249" s="11" t="str">
        <f aca="false">IF(M249&lt;&gt;"FINALIZADO","",IF(OR(ISBLANK(I249),ISBLANK(J249)),0,IF(AND(I249=IFERROR(INDEX(Fixture!$I$5:$I$108,MATCH(D249,Fixture!$A$5:$A$108,0)),"-999"),J249=IFERROR(INDEX(Fixture!$J$5:$J$108,MATCH(D249,Fixture!$A$5:$A$108,0)),"-999")),IFERROR(INDEX(Fases!$C$5:$C$10,MATCH(IFERROR(INDEX(Fixture!$B$5:$B$108,MATCH(D249,Fixture!$A$5:$A$108,0)),0),Fases!$A$5:$A$10,0)),0),IF(OR(AND(I249&gt;J249,IFERROR(INDEX(Fixture!$I$5:$I$108,MATCH(D249,Fixture!$A$5:$A$108,0)),0)&gt;IFERROR(INDEX(Fixture!$J$5:$J$108,MATCH(D249,Fixture!$A$5:$A$108,0)),0)),AND(I249&lt;J249,IFERROR(INDEX(Fixture!$I$5:$I$108,MATCH(D249,Fixture!$A$5:$A$108,0)),0)&lt;IFERROR(INDEX(Fixture!$J$5:$J$108,MATCH(D249,Fixture!$A$5:$A$108,0)),0)),AND(I249=J249,IFERROR(INDEX(Fixture!$I$5:$I$108,MATCH(D249,Fixture!$A$5:$A$108,0)),0)=IFERROR(INDEX(Fixture!$J$5:$J$108,MATCH(D249,Fixture!$A$5:$A$108,0)),0))),IFERROR(INDEX(Fases!$D$5:$D$10,MATCH(IFERROR(INDEX(Fixture!$B$5:$B$108,MATCH(D249,Fixture!$A$5:$A$108,0)),0),Fases!$A$5:$A$10,0)),0),0))))</f>
        <v/>
      </c>
      <c r="M249" s="12" t="str">
        <f aca="false">IFERROR(INDEX(Fixture!$K$5:$K$108,MATCH(D249,Fixture!$A$5:$A$108,0)),"")</f>
        <v>PENDIENTE</v>
      </c>
    </row>
    <row r="250" customFormat="false" ht="15" hidden="false" customHeight="false" outlineLevel="0" collapsed="false">
      <c r="A250" s="9" t="n">
        <v>246</v>
      </c>
      <c r="B250" s="9" t="n">
        <v>3</v>
      </c>
      <c r="C250" s="10" t="str">
        <f aca="false">IFERROR(INDEX(Usuarios!$C$5:$C$200,MATCH(B250,Usuarios!$A$5:$A$200,0)),"")</f>
        <v>juanpe</v>
      </c>
      <c r="D250" s="9" t="n">
        <v>40</v>
      </c>
      <c r="E250" s="10" t="str">
        <f aca="false">IFERROR(INDEX(Fases!$B$5:$B$10,MATCH(INDEX(Fixture!$B$5:$B$108,MATCH(D250,Fixture!$A$5:$A$108,0)),Fases!$A$5:$A$10,0)),"")</f>
        <v>Grupos</v>
      </c>
      <c r="F250" s="10" t="str">
        <f aca="false">IFERROR(INDEX(Fixture!$E$5:$E$108,MATCH(D250,Fixture!$A$5:$A$108,0)),"")</f>
        <v>Suiza</v>
      </c>
      <c r="G250" s="10" t="str">
        <f aca="false">IFERROR(INDEX(Fixture!$F$5:$F$108,MATCH(D250,Fixture!$A$5:$A$108,0)),"")</f>
        <v>Austria</v>
      </c>
      <c r="H250" s="22" t="n">
        <f aca="false">IFERROR(INDEX(Fixture!$G$5:$G$108,MATCH(D250,Fixture!$A$5:$A$108,0)),"")</f>
        <v>46197</v>
      </c>
      <c r="I250" s="23"/>
      <c r="J250" s="23"/>
      <c r="K250" s="10" t="str">
        <f aca="false">IFERROR(INDEX(Fixture!$I$5:$I$108,MATCH(D250,Fixture!$A$5:$A$108,0))&amp;"-"&amp;INDEX(Fixture!$J$5:$J$108,MATCH(D250,Fixture!$A$5:$A$108,0)),"")</f>
        <v>-</v>
      </c>
      <c r="L250" s="9" t="str">
        <f aca="false">IF(M250&lt;&gt;"FINALIZADO","",IF(OR(ISBLANK(I250),ISBLANK(J250)),0,IF(AND(I250=IFERROR(INDEX(Fixture!$I$5:$I$108,MATCH(D250,Fixture!$A$5:$A$108,0)),"-999"),J250=IFERROR(INDEX(Fixture!$J$5:$J$108,MATCH(D250,Fixture!$A$5:$A$108,0)),"-999")),IFERROR(INDEX(Fases!$C$5:$C$10,MATCH(IFERROR(INDEX(Fixture!$B$5:$B$108,MATCH(D250,Fixture!$A$5:$A$108,0)),0),Fases!$A$5:$A$10,0)),0),IF(OR(AND(I250&gt;J250,IFERROR(INDEX(Fixture!$I$5:$I$108,MATCH(D250,Fixture!$A$5:$A$108,0)),0)&gt;IFERROR(INDEX(Fixture!$J$5:$J$108,MATCH(D250,Fixture!$A$5:$A$108,0)),0)),AND(I250&lt;J250,IFERROR(INDEX(Fixture!$I$5:$I$108,MATCH(D250,Fixture!$A$5:$A$108,0)),0)&lt;IFERROR(INDEX(Fixture!$J$5:$J$108,MATCH(D250,Fixture!$A$5:$A$108,0)),0)),AND(I250=J250,IFERROR(INDEX(Fixture!$I$5:$I$108,MATCH(D250,Fixture!$A$5:$A$108,0)),0)=IFERROR(INDEX(Fixture!$J$5:$J$108,MATCH(D250,Fixture!$A$5:$A$108,0)),0))),IFERROR(INDEX(Fases!$D$5:$D$10,MATCH(IFERROR(INDEX(Fixture!$B$5:$B$108,MATCH(D250,Fixture!$A$5:$A$108,0)),0),Fases!$A$5:$A$10,0)),0),0))))</f>
        <v/>
      </c>
      <c r="M250" s="10" t="str">
        <f aca="false">IFERROR(INDEX(Fixture!$K$5:$K$108,MATCH(D250,Fixture!$A$5:$A$108,0)),"")</f>
        <v>PENDIENTE</v>
      </c>
    </row>
    <row r="251" customFormat="false" ht="15" hidden="false" customHeight="false" outlineLevel="0" collapsed="false">
      <c r="A251" s="11" t="n">
        <v>247</v>
      </c>
      <c r="B251" s="11" t="n">
        <v>3</v>
      </c>
      <c r="C251" s="12" t="str">
        <f aca="false">IFERROR(INDEX(Usuarios!$C$5:$C$200,MATCH(B251,Usuarios!$A$5:$A$200,0)),"")</f>
        <v>juanpe</v>
      </c>
      <c r="D251" s="11" t="n">
        <v>41</v>
      </c>
      <c r="E251" s="12" t="str">
        <f aca="false">IFERROR(INDEX(Fases!$B$5:$B$10,MATCH(INDEX(Fixture!$B$5:$B$108,MATCH(D251,Fixture!$A$5:$A$108,0)),Fases!$A$5:$A$10,0)),"")</f>
        <v>Grupos</v>
      </c>
      <c r="F251" s="12" t="str">
        <f aca="false">IFERROR(INDEX(Fixture!$E$5:$E$108,MATCH(D251,Fixture!$A$5:$A$108,0)),"")</f>
        <v>Suiza</v>
      </c>
      <c r="G251" s="12" t="str">
        <f aca="false">IFERROR(INDEX(Fixture!$F$5:$F$108,MATCH(D251,Fixture!$A$5:$A$108,0)),"")</f>
        <v>Hungría</v>
      </c>
      <c r="H251" s="20" t="n">
        <f aca="false">IFERROR(INDEX(Fixture!$G$5:$G$108,MATCH(D251,Fixture!$A$5:$A$108,0)),"")</f>
        <v>46197.625</v>
      </c>
      <c r="I251" s="21"/>
      <c r="J251" s="21"/>
      <c r="K251" s="12" t="str">
        <f aca="false">IFERROR(INDEX(Fixture!$I$5:$I$108,MATCH(D251,Fixture!$A$5:$A$108,0))&amp;"-"&amp;INDEX(Fixture!$J$5:$J$108,MATCH(D251,Fixture!$A$5:$A$108,0)),"")</f>
        <v>-</v>
      </c>
      <c r="L251" s="11" t="str">
        <f aca="false">IF(M251&lt;&gt;"FINALIZADO","",IF(OR(ISBLANK(I251),ISBLANK(J251)),0,IF(AND(I251=IFERROR(INDEX(Fixture!$I$5:$I$108,MATCH(D251,Fixture!$A$5:$A$108,0)),"-999"),J251=IFERROR(INDEX(Fixture!$J$5:$J$108,MATCH(D251,Fixture!$A$5:$A$108,0)),"-999")),IFERROR(INDEX(Fases!$C$5:$C$10,MATCH(IFERROR(INDEX(Fixture!$B$5:$B$108,MATCH(D251,Fixture!$A$5:$A$108,0)),0),Fases!$A$5:$A$10,0)),0),IF(OR(AND(I251&gt;J251,IFERROR(INDEX(Fixture!$I$5:$I$108,MATCH(D251,Fixture!$A$5:$A$108,0)),0)&gt;IFERROR(INDEX(Fixture!$J$5:$J$108,MATCH(D251,Fixture!$A$5:$A$108,0)),0)),AND(I251&lt;J251,IFERROR(INDEX(Fixture!$I$5:$I$108,MATCH(D251,Fixture!$A$5:$A$108,0)),0)&lt;IFERROR(INDEX(Fixture!$J$5:$J$108,MATCH(D251,Fixture!$A$5:$A$108,0)),0)),AND(I251=J251,IFERROR(INDEX(Fixture!$I$5:$I$108,MATCH(D251,Fixture!$A$5:$A$108,0)),0)=IFERROR(INDEX(Fixture!$J$5:$J$108,MATCH(D251,Fixture!$A$5:$A$108,0)),0))),IFERROR(INDEX(Fases!$D$5:$D$10,MATCH(IFERROR(INDEX(Fixture!$B$5:$B$108,MATCH(D251,Fixture!$A$5:$A$108,0)),0),Fases!$A$5:$A$10,0)),0),0))))</f>
        <v/>
      </c>
      <c r="M251" s="12" t="str">
        <f aca="false">IFERROR(INDEX(Fixture!$K$5:$K$108,MATCH(D251,Fixture!$A$5:$A$108,0)),"")</f>
        <v>PENDIENTE</v>
      </c>
    </row>
    <row r="252" customFormat="false" ht="15" hidden="false" customHeight="false" outlineLevel="0" collapsed="false">
      <c r="A252" s="9" t="n">
        <v>248</v>
      </c>
      <c r="B252" s="9" t="n">
        <v>3</v>
      </c>
      <c r="C252" s="10" t="str">
        <f aca="false">IFERROR(INDEX(Usuarios!$C$5:$C$200,MATCH(B252,Usuarios!$A$5:$A$200,0)),"")</f>
        <v>juanpe</v>
      </c>
      <c r="D252" s="9" t="n">
        <v>42</v>
      </c>
      <c r="E252" s="10" t="str">
        <f aca="false">IFERROR(INDEX(Fases!$B$5:$B$10,MATCH(INDEX(Fixture!$B$5:$B$108,MATCH(D252,Fixture!$A$5:$A$108,0)),Fases!$A$5:$A$10,0)),"")</f>
        <v>Grupos</v>
      </c>
      <c r="F252" s="10" t="str">
        <f aca="false">IFERROR(INDEX(Fixture!$E$5:$E$108,MATCH(D252,Fixture!$A$5:$A$108,0)),"")</f>
        <v>Austria</v>
      </c>
      <c r="G252" s="10" t="str">
        <f aca="false">IFERROR(INDEX(Fixture!$F$5:$F$108,MATCH(D252,Fixture!$A$5:$A$108,0)),"")</f>
        <v>Hungría</v>
      </c>
      <c r="H252" s="22" t="n">
        <f aca="false">IFERROR(INDEX(Fixture!$G$5:$G$108,MATCH(D252,Fixture!$A$5:$A$108,0)),"")</f>
        <v>46197.75</v>
      </c>
      <c r="I252" s="23"/>
      <c r="J252" s="23"/>
      <c r="K252" s="10" t="str">
        <f aca="false">IFERROR(INDEX(Fixture!$I$5:$I$108,MATCH(D252,Fixture!$A$5:$A$108,0))&amp;"-"&amp;INDEX(Fixture!$J$5:$J$108,MATCH(D252,Fixture!$A$5:$A$108,0)),"")</f>
        <v>-</v>
      </c>
      <c r="L252" s="9" t="str">
        <f aca="false">IF(M252&lt;&gt;"FINALIZADO","",IF(OR(ISBLANK(I252),ISBLANK(J252)),0,IF(AND(I252=IFERROR(INDEX(Fixture!$I$5:$I$108,MATCH(D252,Fixture!$A$5:$A$108,0)),"-999"),J252=IFERROR(INDEX(Fixture!$J$5:$J$108,MATCH(D252,Fixture!$A$5:$A$108,0)),"-999")),IFERROR(INDEX(Fases!$C$5:$C$10,MATCH(IFERROR(INDEX(Fixture!$B$5:$B$108,MATCH(D252,Fixture!$A$5:$A$108,0)),0),Fases!$A$5:$A$10,0)),0),IF(OR(AND(I252&gt;J252,IFERROR(INDEX(Fixture!$I$5:$I$108,MATCH(D252,Fixture!$A$5:$A$108,0)),0)&gt;IFERROR(INDEX(Fixture!$J$5:$J$108,MATCH(D252,Fixture!$A$5:$A$108,0)),0)),AND(I252&lt;J252,IFERROR(INDEX(Fixture!$I$5:$I$108,MATCH(D252,Fixture!$A$5:$A$108,0)),0)&lt;IFERROR(INDEX(Fixture!$J$5:$J$108,MATCH(D252,Fixture!$A$5:$A$108,0)),0)),AND(I252=J252,IFERROR(INDEX(Fixture!$I$5:$I$108,MATCH(D252,Fixture!$A$5:$A$108,0)),0)=IFERROR(INDEX(Fixture!$J$5:$J$108,MATCH(D252,Fixture!$A$5:$A$108,0)),0))),IFERROR(INDEX(Fases!$D$5:$D$10,MATCH(IFERROR(INDEX(Fixture!$B$5:$B$108,MATCH(D252,Fixture!$A$5:$A$108,0)),0),Fases!$A$5:$A$10,0)),0),0))))</f>
        <v/>
      </c>
      <c r="M252" s="10" t="str">
        <f aca="false">IFERROR(INDEX(Fixture!$K$5:$K$108,MATCH(D252,Fixture!$A$5:$A$108,0)),"")</f>
        <v>PENDIENTE</v>
      </c>
    </row>
    <row r="253" customFormat="false" ht="15" hidden="false" customHeight="false" outlineLevel="0" collapsed="false">
      <c r="A253" s="11" t="n">
        <v>249</v>
      </c>
      <c r="B253" s="11" t="n">
        <v>3</v>
      </c>
      <c r="C253" s="12" t="str">
        <f aca="false">IFERROR(INDEX(Usuarios!$C$5:$C$200,MATCH(B253,Usuarios!$A$5:$A$200,0)),"")</f>
        <v>juanpe</v>
      </c>
      <c r="D253" s="11" t="n">
        <v>43</v>
      </c>
      <c r="E253" s="12" t="str">
        <f aca="false">IFERROR(INDEX(Fases!$B$5:$B$10,MATCH(INDEX(Fixture!$B$5:$B$108,MATCH(D253,Fixture!$A$5:$A$108,0)),Fases!$A$5:$A$10,0)),"")</f>
        <v>Grupos</v>
      </c>
      <c r="F253" s="12" t="str">
        <f aca="false">IFERROR(INDEX(Fixture!$E$5:$E$108,MATCH(D253,Fixture!$A$5:$A$108,0)),"")</f>
        <v>Turquía</v>
      </c>
      <c r="G253" s="12" t="str">
        <f aca="false">IFERROR(INDEX(Fixture!$F$5:$F$108,MATCH(D253,Fixture!$A$5:$A$108,0)),"")</f>
        <v>Escocia</v>
      </c>
      <c r="H253" s="20" t="n">
        <f aca="false">IFERROR(INDEX(Fixture!$G$5:$G$108,MATCH(D253,Fixture!$A$5:$A$108,0)),"")</f>
        <v>46198.625</v>
      </c>
      <c r="I253" s="21"/>
      <c r="J253" s="21"/>
      <c r="K253" s="12" t="str">
        <f aca="false">IFERROR(INDEX(Fixture!$I$5:$I$108,MATCH(D253,Fixture!$A$5:$A$108,0))&amp;"-"&amp;INDEX(Fixture!$J$5:$J$108,MATCH(D253,Fixture!$A$5:$A$108,0)),"")</f>
        <v>-</v>
      </c>
      <c r="L253" s="11" t="str">
        <f aca="false">IF(M253&lt;&gt;"FINALIZADO","",IF(OR(ISBLANK(I253),ISBLANK(J253)),0,IF(AND(I253=IFERROR(INDEX(Fixture!$I$5:$I$108,MATCH(D253,Fixture!$A$5:$A$108,0)),"-999"),J253=IFERROR(INDEX(Fixture!$J$5:$J$108,MATCH(D253,Fixture!$A$5:$A$108,0)),"-999")),IFERROR(INDEX(Fases!$C$5:$C$10,MATCH(IFERROR(INDEX(Fixture!$B$5:$B$108,MATCH(D253,Fixture!$A$5:$A$108,0)),0),Fases!$A$5:$A$10,0)),0),IF(OR(AND(I253&gt;J253,IFERROR(INDEX(Fixture!$I$5:$I$108,MATCH(D253,Fixture!$A$5:$A$108,0)),0)&gt;IFERROR(INDEX(Fixture!$J$5:$J$108,MATCH(D253,Fixture!$A$5:$A$108,0)),0)),AND(I253&lt;J253,IFERROR(INDEX(Fixture!$I$5:$I$108,MATCH(D253,Fixture!$A$5:$A$108,0)),0)&lt;IFERROR(INDEX(Fixture!$J$5:$J$108,MATCH(D253,Fixture!$A$5:$A$108,0)),0)),AND(I253=J253,IFERROR(INDEX(Fixture!$I$5:$I$108,MATCH(D253,Fixture!$A$5:$A$108,0)),0)=IFERROR(INDEX(Fixture!$J$5:$J$108,MATCH(D253,Fixture!$A$5:$A$108,0)),0))),IFERROR(INDEX(Fases!$D$5:$D$10,MATCH(IFERROR(INDEX(Fixture!$B$5:$B$108,MATCH(D253,Fixture!$A$5:$A$108,0)),0),Fases!$A$5:$A$10,0)),0),0))))</f>
        <v/>
      </c>
      <c r="M253" s="12" t="str">
        <f aca="false">IFERROR(INDEX(Fixture!$K$5:$K$108,MATCH(D253,Fixture!$A$5:$A$108,0)),"")</f>
        <v>PENDIENTE</v>
      </c>
    </row>
    <row r="254" customFormat="false" ht="15" hidden="false" customHeight="false" outlineLevel="0" collapsed="false">
      <c r="A254" s="9" t="n">
        <v>250</v>
      </c>
      <c r="B254" s="9" t="n">
        <v>3</v>
      </c>
      <c r="C254" s="10" t="str">
        <f aca="false">IFERROR(INDEX(Usuarios!$C$5:$C$200,MATCH(B254,Usuarios!$A$5:$A$200,0)),"")</f>
        <v>juanpe</v>
      </c>
      <c r="D254" s="9" t="n">
        <v>44</v>
      </c>
      <c r="E254" s="10" t="str">
        <f aca="false">IFERROR(INDEX(Fases!$B$5:$B$10,MATCH(INDEX(Fixture!$B$5:$B$108,MATCH(D254,Fixture!$A$5:$A$108,0)),Fases!$A$5:$A$10,0)),"")</f>
        <v>Grupos</v>
      </c>
      <c r="F254" s="10" t="str">
        <f aca="false">IFERROR(INDEX(Fixture!$E$5:$E$108,MATCH(D254,Fixture!$A$5:$A$108,0)),"")</f>
        <v>Turquía</v>
      </c>
      <c r="G254" s="10" t="str">
        <f aca="false">IFERROR(INDEX(Fixture!$F$5:$F$108,MATCH(D254,Fixture!$A$5:$A$108,0)),"")</f>
        <v>Serbia</v>
      </c>
      <c r="H254" s="22" t="n">
        <f aca="false">IFERROR(INDEX(Fixture!$G$5:$G$108,MATCH(D254,Fixture!$A$5:$A$108,0)),"")</f>
        <v>46198.75</v>
      </c>
      <c r="I254" s="23"/>
      <c r="J254" s="23"/>
      <c r="K254" s="10" t="str">
        <f aca="false">IFERROR(INDEX(Fixture!$I$5:$I$108,MATCH(D254,Fixture!$A$5:$A$108,0))&amp;"-"&amp;INDEX(Fixture!$J$5:$J$108,MATCH(D254,Fixture!$A$5:$A$108,0)),"")</f>
        <v>-</v>
      </c>
      <c r="L254" s="9" t="str">
        <f aca="false">IF(M254&lt;&gt;"FINALIZADO","",IF(OR(ISBLANK(I254),ISBLANK(J254)),0,IF(AND(I254=IFERROR(INDEX(Fixture!$I$5:$I$108,MATCH(D254,Fixture!$A$5:$A$108,0)),"-999"),J254=IFERROR(INDEX(Fixture!$J$5:$J$108,MATCH(D254,Fixture!$A$5:$A$108,0)),"-999")),IFERROR(INDEX(Fases!$C$5:$C$10,MATCH(IFERROR(INDEX(Fixture!$B$5:$B$108,MATCH(D254,Fixture!$A$5:$A$108,0)),0),Fases!$A$5:$A$10,0)),0),IF(OR(AND(I254&gt;J254,IFERROR(INDEX(Fixture!$I$5:$I$108,MATCH(D254,Fixture!$A$5:$A$108,0)),0)&gt;IFERROR(INDEX(Fixture!$J$5:$J$108,MATCH(D254,Fixture!$A$5:$A$108,0)),0)),AND(I254&lt;J254,IFERROR(INDEX(Fixture!$I$5:$I$108,MATCH(D254,Fixture!$A$5:$A$108,0)),0)&lt;IFERROR(INDEX(Fixture!$J$5:$J$108,MATCH(D254,Fixture!$A$5:$A$108,0)),0)),AND(I254=J254,IFERROR(INDEX(Fixture!$I$5:$I$108,MATCH(D254,Fixture!$A$5:$A$108,0)),0)=IFERROR(INDEX(Fixture!$J$5:$J$108,MATCH(D254,Fixture!$A$5:$A$108,0)),0))),IFERROR(INDEX(Fases!$D$5:$D$10,MATCH(IFERROR(INDEX(Fixture!$B$5:$B$108,MATCH(D254,Fixture!$A$5:$A$108,0)),0),Fases!$A$5:$A$10,0)),0),0))))</f>
        <v/>
      </c>
      <c r="M254" s="10" t="str">
        <f aca="false">IFERROR(INDEX(Fixture!$K$5:$K$108,MATCH(D254,Fixture!$A$5:$A$108,0)),"")</f>
        <v>PENDIENTE</v>
      </c>
    </row>
    <row r="255" customFormat="false" ht="15" hidden="false" customHeight="false" outlineLevel="0" collapsed="false">
      <c r="A255" s="11" t="n">
        <v>251</v>
      </c>
      <c r="B255" s="11" t="n">
        <v>3</v>
      </c>
      <c r="C255" s="12" t="str">
        <f aca="false">IFERROR(INDEX(Usuarios!$C$5:$C$200,MATCH(B255,Usuarios!$A$5:$A$200,0)),"")</f>
        <v>juanpe</v>
      </c>
      <c r="D255" s="11" t="n">
        <v>45</v>
      </c>
      <c r="E255" s="12" t="str">
        <f aca="false">IFERROR(INDEX(Fases!$B$5:$B$10,MATCH(INDEX(Fixture!$B$5:$B$108,MATCH(D255,Fixture!$A$5:$A$108,0)),Fases!$A$5:$A$10,0)),"")</f>
        <v>Grupos</v>
      </c>
      <c r="F255" s="12" t="str">
        <f aca="false">IFERROR(INDEX(Fixture!$E$5:$E$108,MATCH(D255,Fixture!$A$5:$A$108,0)),"")</f>
        <v>Turquía</v>
      </c>
      <c r="G255" s="12" t="str">
        <f aca="false">IFERROR(INDEX(Fixture!$F$5:$F$108,MATCH(D255,Fixture!$A$5:$A$108,0)),"")</f>
        <v>República Checa</v>
      </c>
      <c r="H255" s="20" t="n">
        <f aca="false">IFERROR(INDEX(Fixture!$G$5:$G$108,MATCH(D255,Fixture!$A$5:$A$108,0)),"")</f>
        <v>46198.875</v>
      </c>
      <c r="I255" s="21"/>
      <c r="J255" s="21"/>
      <c r="K255" s="12" t="str">
        <f aca="false">IFERROR(INDEX(Fixture!$I$5:$I$108,MATCH(D255,Fixture!$A$5:$A$108,0))&amp;"-"&amp;INDEX(Fixture!$J$5:$J$108,MATCH(D255,Fixture!$A$5:$A$108,0)),"")</f>
        <v>-</v>
      </c>
      <c r="L255" s="11" t="str">
        <f aca="false">IF(M255&lt;&gt;"FINALIZADO","",IF(OR(ISBLANK(I255),ISBLANK(J255)),0,IF(AND(I255=IFERROR(INDEX(Fixture!$I$5:$I$108,MATCH(D255,Fixture!$A$5:$A$108,0)),"-999"),J255=IFERROR(INDEX(Fixture!$J$5:$J$108,MATCH(D255,Fixture!$A$5:$A$108,0)),"-999")),IFERROR(INDEX(Fases!$C$5:$C$10,MATCH(IFERROR(INDEX(Fixture!$B$5:$B$108,MATCH(D255,Fixture!$A$5:$A$108,0)),0),Fases!$A$5:$A$10,0)),0),IF(OR(AND(I255&gt;J255,IFERROR(INDEX(Fixture!$I$5:$I$108,MATCH(D255,Fixture!$A$5:$A$108,0)),0)&gt;IFERROR(INDEX(Fixture!$J$5:$J$108,MATCH(D255,Fixture!$A$5:$A$108,0)),0)),AND(I255&lt;J255,IFERROR(INDEX(Fixture!$I$5:$I$108,MATCH(D255,Fixture!$A$5:$A$108,0)),0)&lt;IFERROR(INDEX(Fixture!$J$5:$J$108,MATCH(D255,Fixture!$A$5:$A$108,0)),0)),AND(I255=J255,IFERROR(INDEX(Fixture!$I$5:$I$108,MATCH(D255,Fixture!$A$5:$A$108,0)),0)=IFERROR(INDEX(Fixture!$J$5:$J$108,MATCH(D255,Fixture!$A$5:$A$108,0)),0))),IFERROR(INDEX(Fases!$D$5:$D$10,MATCH(IFERROR(INDEX(Fixture!$B$5:$B$108,MATCH(D255,Fixture!$A$5:$A$108,0)),0),Fases!$A$5:$A$10,0)),0),0))))</f>
        <v/>
      </c>
      <c r="M255" s="12" t="str">
        <f aca="false">IFERROR(INDEX(Fixture!$K$5:$K$108,MATCH(D255,Fixture!$A$5:$A$108,0)),"")</f>
        <v>PENDIENTE</v>
      </c>
    </row>
    <row r="256" customFormat="false" ht="15" hidden="false" customHeight="false" outlineLevel="0" collapsed="false">
      <c r="A256" s="9" t="n">
        <v>252</v>
      </c>
      <c r="B256" s="9" t="n">
        <v>3</v>
      </c>
      <c r="C256" s="10" t="str">
        <f aca="false">IFERROR(INDEX(Usuarios!$C$5:$C$200,MATCH(B256,Usuarios!$A$5:$A$200,0)),"")</f>
        <v>juanpe</v>
      </c>
      <c r="D256" s="9" t="n">
        <v>46</v>
      </c>
      <c r="E256" s="10" t="str">
        <f aca="false">IFERROR(INDEX(Fases!$B$5:$B$10,MATCH(INDEX(Fixture!$B$5:$B$108,MATCH(D256,Fixture!$A$5:$A$108,0)),Fases!$A$5:$A$10,0)),"")</f>
        <v>Grupos</v>
      </c>
      <c r="F256" s="10" t="str">
        <f aca="false">IFERROR(INDEX(Fixture!$E$5:$E$108,MATCH(D256,Fixture!$A$5:$A$108,0)),"")</f>
        <v>Escocia</v>
      </c>
      <c r="G256" s="10" t="str">
        <f aca="false">IFERROR(INDEX(Fixture!$F$5:$F$108,MATCH(D256,Fixture!$A$5:$A$108,0)),"")</f>
        <v>Serbia</v>
      </c>
      <c r="H256" s="22" t="n">
        <f aca="false">IFERROR(INDEX(Fixture!$G$5:$G$108,MATCH(D256,Fixture!$A$5:$A$108,0)),"")</f>
        <v>46199</v>
      </c>
      <c r="I256" s="23"/>
      <c r="J256" s="23"/>
      <c r="K256" s="10" t="str">
        <f aca="false">IFERROR(INDEX(Fixture!$I$5:$I$108,MATCH(D256,Fixture!$A$5:$A$108,0))&amp;"-"&amp;INDEX(Fixture!$J$5:$J$108,MATCH(D256,Fixture!$A$5:$A$108,0)),"")</f>
        <v>-</v>
      </c>
      <c r="L256" s="9" t="str">
        <f aca="false">IF(M256&lt;&gt;"FINALIZADO","",IF(OR(ISBLANK(I256),ISBLANK(J256)),0,IF(AND(I256=IFERROR(INDEX(Fixture!$I$5:$I$108,MATCH(D256,Fixture!$A$5:$A$108,0)),"-999"),J256=IFERROR(INDEX(Fixture!$J$5:$J$108,MATCH(D256,Fixture!$A$5:$A$108,0)),"-999")),IFERROR(INDEX(Fases!$C$5:$C$10,MATCH(IFERROR(INDEX(Fixture!$B$5:$B$108,MATCH(D256,Fixture!$A$5:$A$108,0)),0),Fases!$A$5:$A$10,0)),0),IF(OR(AND(I256&gt;J256,IFERROR(INDEX(Fixture!$I$5:$I$108,MATCH(D256,Fixture!$A$5:$A$108,0)),0)&gt;IFERROR(INDEX(Fixture!$J$5:$J$108,MATCH(D256,Fixture!$A$5:$A$108,0)),0)),AND(I256&lt;J256,IFERROR(INDEX(Fixture!$I$5:$I$108,MATCH(D256,Fixture!$A$5:$A$108,0)),0)&lt;IFERROR(INDEX(Fixture!$J$5:$J$108,MATCH(D256,Fixture!$A$5:$A$108,0)),0)),AND(I256=J256,IFERROR(INDEX(Fixture!$I$5:$I$108,MATCH(D256,Fixture!$A$5:$A$108,0)),0)=IFERROR(INDEX(Fixture!$J$5:$J$108,MATCH(D256,Fixture!$A$5:$A$108,0)),0))),IFERROR(INDEX(Fases!$D$5:$D$10,MATCH(IFERROR(INDEX(Fixture!$B$5:$B$108,MATCH(D256,Fixture!$A$5:$A$108,0)),0),Fases!$A$5:$A$10,0)),0),0))))</f>
        <v/>
      </c>
      <c r="M256" s="10" t="str">
        <f aca="false">IFERROR(INDEX(Fixture!$K$5:$K$108,MATCH(D256,Fixture!$A$5:$A$108,0)),"")</f>
        <v>PENDIENTE</v>
      </c>
    </row>
    <row r="257" customFormat="false" ht="15" hidden="false" customHeight="false" outlineLevel="0" collapsed="false">
      <c r="A257" s="11" t="n">
        <v>253</v>
      </c>
      <c r="B257" s="11" t="n">
        <v>3</v>
      </c>
      <c r="C257" s="12" t="str">
        <f aca="false">IFERROR(INDEX(Usuarios!$C$5:$C$200,MATCH(B257,Usuarios!$A$5:$A$200,0)),"")</f>
        <v>juanpe</v>
      </c>
      <c r="D257" s="11" t="n">
        <v>47</v>
      </c>
      <c r="E257" s="12" t="str">
        <f aca="false">IFERROR(INDEX(Fases!$B$5:$B$10,MATCH(INDEX(Fixture!$B$5:$B$108,MATCH(D257,Fixture!$A$5:$A$108,0)),Fases!$A$5:$A$10,0)),"")</f>
        <v>Grupos</v>
      </c>
      <c r="F257" s="12" t="str">
        <f aca="false">IFERROR(INDEX(Fixture!$E$5:$E$108,MATCH(D257,Fixture!$A$5:$A$108,0)),"")</f>
        <v>Escocia</v>
      </c>
      <c r="G257" s="12" t="str">
        <f aca="false">IFERROR(INDEX(Fixture!$F$5:$F$108,MATCH(D257,Fixture!$A$5:$A$108,0)),"")</f>
        <v>República Checa</v>
      </c>
      <c r="H257" s="20" t="n">
        <f aca="false">IFERROR(INDEX(Fixture!$G$5:$G$108,MATCH(D257,Fixture!$A$5:$A$108,0)),"")</f>
        <v>46199.625</v>
      </c>
      <c r="I257" s="21"/>
      <c r="J257" s="21"/>
      <c r="K257" s="12" t="str">
        <f aca="false">IFERROR(INDEX(Fixture!$I$5:$I$108,MATCH(D257,Fixture!$A$5:$A$108,0))&amp;"-"&amp;INDEX(Fixture!$J$5:$J$108,MATCH(D257,Fixture!$A$5:$A$108,0)),"")</f>
        <v>-</v>
      </c>
      <c r="L257" s="11" t="str">
        <f aca="false">IF(M257&lt;&gt;"FINALIZADO","",IF(OR(ISBLANK(I257),ISBLANK(J257)),0,IF(AND(I257=IFERROR(INDEX(Fixture!$I$5:$I$108,MATCH(D257,Fixture!$A$5:$A$108,0)),"-999"),J257=IFERROR(INDEX(Fixture!$J$5:$J$108,MATCH(D257,Fixture!$A$5:$A$108,0)),"-999")),IFERROR(INDEX(Fases!$C$5:$C$10,MATCH(IFERROR(INDEX(Fixture!$B$5:$B$108,MATCH(D257,Fixture!$A$5:$A$108,0)),0),Fases!$A$5:$A$10,0)),0),IF(OR(AND(I257&gt;J257,IFERROR(INDEX(Fixture!$I$5:$I$108,MATCH(D257,Fixture!$A$5:$A$108,0)),0)&gt;IFERROR(INDEX(Fixture!$J$5:$J$108,MATCH(D257,Fixture!$A$5:$A$108,0)),0)),AND(I257&lt;J257,IFERROR(INDEX(Fixture!$I$5:$I$108,MATCH(D257,Fixture!$A$5:$A$108,0)),0)&lt;IFERROR(INDEX(Fixture!$J$5:$J$108,MATCH(D257,Fixture!$A$5:$A$108,0)),0)),AND(I257=J257,IFERROR(INDEX(Fixture!$I$5:$I$108,MATCH(D257,Fixture!$A$5:$A$108,0)),0)=IFERROR(INDEX(Fixture!$J$5:$J$108,MATCH(D257,Fixture!$A$5:$A$108,0)),0))),IFERROR(INDEX(Fases!$D$5:$D$10,MATCH(IFERROR(INDEX(Fixture!$B$5:$B$108,MATCH(D257,Fixture!$A$5:$A$108,0)),0),Fases!$A$5:$A$10,0)),0),0))))</f>
        <v/>
      </c>
      <c r="M257" s="12" t="str">
        <f aca="false">IFERROR(INDEX(Fixture!$K$5:$K$108,MATCH(D257,Fixture!$A$5:$A$108,0)),"")</f>
        <v>PENDIENTE</v>
      </c>
    </row>
    <row r="258" customFormat="false" ht="15" hidden="false" customHeight="false" outlineLevel="0" collapsed="false">
      <c r="A258" s="9" t="n">
        <v>254</v>
      </c>
      <c r="B258" s="9" t="n">
        <v>3</v>
      </c>
      <c r="C258" s="10" t="str">
        <f aca="false">IFERROR(INDEX(Usuarios!$C$5:$C$200,MATCH(B258,Usuarios!$A$5:$A$200,0)),"")</f>
        <v>juanpe</v>
      </c>
      <c r="D258" s="9" t="n">
        <v>48</v>
      </c>
      <c r="E258" s="10" t="str">
        <f aca="false">IFERROR(INDEX(Fases!$B$5:$B$10,MATCH(INDEX(Fixture!$B$5:$B$108,MATCH(D258,Fixture!$A$5:$A$108,0)),Fases!$A$5:$A$10,0)),"")</f>
        <v>Grupos</v>
      </c>
      <c r="F258" s="10" t="str">
        <f aca="false">IFERROR(INDEX(Fixture!$E$5:$E$108,MATCH(D258,Fixture!$A$5:$A$108,0)),"")</f>
        <v>Serbia</v>
      </c>
      <c r="G258" s="10" t="str">
        <f aca="false">IFERROR(INDEX(Fixture!$F$5:$F$108,MATCH(D258,Fixture!$A$5:$A$108,0)),"")</f>
        <v>República Checa</v>
      </c>
      <c r="H258" s="22" t="n">
        <f aca="false">IFERROR(INDEX(Fixture!$G$5:$G$108,MATCH(D258,Fixture!$A$5:$A$108,0)),"")</f>
        <v>46199.75</v>
      </c>
      <c r="I258" s="23"/>
      <c r="J258" s="23"/>
      <c r="K258" s="10" t="str">
        <f aca="false">IFERROR(INDEX(Fixture!$I$5:$I$108,MATCH(D258,Fixture!$A$5:$A$108,0))&amp;"-"&amp;INDEX(Fixture!$J$5:$J$108,MATCH(D258,Fixture!$A$5:$A$108,0)),"")</f>
        <v>-</v>
      </c>
      <c r="L258" s="9" t="str">
        <f aca="false">IF(M258&lt;&gt;"FINALIZADO","",IF(OR(ISBLANK(I258),ISBLANK(J258)),0,IF(AND(I258=IFERROR(INDEX(Fixture!$I$5:$I$108,MATCH(D258,Fixture!$A$5:$A$108,0)),"-999"),J258=IFERROR(INDEX(Fixture!$J$5:$J$108,MATCH(D258,Fixture!$A$5:$A$108,0)),"-999")),IFERROR(INDEX(Fases!$C$5:$C$10,MATCH(IFERROR(INDEX(Fixture!$B$5:$B$108,MATCH(D258,Fixture!$A$5:$A$108,0)),0),Fases!$A$5:$A$10,0)),0),IF(OR(AND(I258&gt;J258,IFERROR(INDEX(Fixture!$I$5:$I$108,MATCH(D258,Fixture!$A$5:$A$108,0)),0)&gt;IFERROR(INDEX(Fixture!$J$5:$J$108,MATCH(D258,Fixture!$A$5:$A$108,0)),0)),AND(I258&lt;J258,IFERROR(INDEX(Fixture!$I$5:$I$108,MATCH(D258,Fixture!$A$5:$A$108,0)),0)&lt;IFERROR(INDEX(Fixture!$J$5:$J$108,MATCH(D258,Fixture!$A$5:$A$108,0)),0)),AND(I258=J258,IFERROR(INDEX(Fixture!$I$5:$I$108,MATCH(D258,Fixture!$A$5:$A$108,0)),0)=IFERROR(INDEX(Fixture!$J$5:$J$108,MATCH(D258,Fixture!$A$5:$A$108,0)),0))),IFERROR(INDEX(Fases!$D$5:$D$10,MATCH(IFERROR(INDEX(Fixture!$B$5:$B$108,MATCH(D258,Fixture!$A$5:$A$108,0)),0),Fases!$A$5:$A$10,0)),0),0))))</f>
        <v/>
      </c>
      <c r="M258" s="10" t="str">
        <f aca="false">IFERROR(INDEX(Fixture!$K$5:$K$108,MATCH(D258,Fixture!$A$5:$A$108,0)),"")</f>
        <v>PENDIENTE</v>
      </c>
    </row>
    <row r="259" customFormat="false" ht="15" hidden="false" customHeight="false" outlineLevel="0" collapsed="false">
      <c r="A259" s="11" t="n">
        <v>255</v>
      </c>
      <c r="B259" s="11" t="n">
        <v>3</v>
      </c>
      <c r="C259" s="12" t="str">
        <f aca="false">IFERROR(INDEX(Usuarios!$C$5:$C$200,MATCH(B259,Usuarios!$A$5:$A$200,0)),"")</f>
        <v>juanpe</v>
      </c>
      <c r="D259" s="11" t="n">
        <v>49</v>
      </c>
      <c r="E259" s="12" t="str">
        <f aca="false">IFERROR(INDEX(Fases!$B$5:$B$10,MATCH(INDEX(Fixture!$B$5:$B$108,MATCH(D259,Fixture!$A$5:$A$108,0)),Fases!$A$5:$A$10,0)),"")</f>
        <v>Grupos</v>
      </c>
      <c r="F259" s="12" t="str">
        <f aca="false">IFERROR(INDEX(Fixture!$E$5:$E$108,MATCH(D259,Fixture!$A$5:$A$108,0)),"")</f>
        <v>Marruecos</v>
      </c>
      <c r="G259" s="12" t="str">
        <f aca="false">IFERROR(INDEX(Fixture!$F$5:$F$108,MATCH(D259,Fixture!$A$5:$A$108,0)),"")</f>
        <v>Senegal</v>
      </c>
      <c r="H259" s="20" t="n">
        <f aca="false">IFERROR(INDEX(Fixture!$G$5:$G$108,MATCH(D259,Fixture!$A$5:$A$108,0)),"")</f>
        <v>46200.625</v>
      </c>
      <c r="I259" s="21"/>
      <c r="J259" s="21"/>
      <c r="K259" s="12" t="str">
        <f aca="false">IFERROR(INDEX(Fixture!$I$5:$I$108,MATCH(D259,Fixture!$A$5:$A$108,0))&amp;"-"&amp;INDEX(Fixture!$J$5:$J$108,MATCH(D259,Fixture!$A$5:$A$108,0)),"")</f>
        <v>-</v>
      </c>
      <c r="L259" s="11" t="str">
        <f aca="false">IF(M259&lt;&gt;"FINALIZADO","",IF(OR(ISBLANK(I259),ISBLANK(J259)),0,IF(AND(I259=IFERROR(INDEX(Fixture!$I$5:$I$108,MATCH(D259,Fixture!$A$5:$A$108,0)),"-999"),J259=IFERROR(INDEX(Fixture!$J$5:$J$108,MATCH(D259,Fixture!$A$5:$A$108,0)),"-999")),IFERROR(INDEX(Fases!$C$5:$C$10,MATCH(IFERROR(INDEX(Fixture!$B$5:$B$108,MATCH(D259,Fixture!$A$5:$A$108,0)),0),Fases!$A$5:$A$10,0)),0),IF(OR(AND(I259&gt;J259,IFERROR(INDEX(Fixture!$I$5:$I$108,MATCH(D259,Fixture!$A$5:$A$108,0)),0)&gt;IFERROR(INDEX(Fixture!$J$5:$J$108,MATCH(D259,Fixture!$A$5:$A$108,0)),0)),AND(I259&lt;J259,IFERROR(INDEX(Fixture!$I$5:$I$108,MATCH(D259,Fixture!$A$5:$A$108,0)),0)&lt;IFERROR(INDEX(Fixture!$J$5:$J$108,MATCH(D259,Fixture!$A$5:$A$108,0)),0)),AND(I259=J259,IFERROR(INDEX(Fixture!$I$5:$I$108,MATCH(D259,Fixture!$A$5:$A$108,0)),0)=IFERROR(INDEX(Fixture!$J$5:$J$108,MATCH(D259,Fixture!$A$5:$A$108,0)),0))),IFERROR(INDEX(Fases!$D$5:$D$10,MATCH(IFERROR(INDEX(Fixture!$B$5:$B$108,MATCH(D259,Fixture!$A$5:$A$108,0)),0),Fases!$A$5:$A$10,0)),0),0))))</f>
        <v/>
      </c>
      <c r="M259" s="12" t="str">
        <f aca="false">IFERROR(INDEX(Fixture!$K$5:$K$108,MATCH(D259,Fixture!$A$5:$A$108,0)),"")</f>
        <v>PENDIENTE</v>
      </c>
    </row>
    <row r="260" customFormat="false" ht="15" hidden="false" customHeight="false" outlineLevel="0" collapsed="false">
      <c r="A260" s="9" t="n">
        <v>256</v>
      </c>
      <c r="B260" s="9" t="n">
        <v>3</v>
      </c>
      <c r="C260" s="10" t="str">
        <f aca="false">IFERROR(INDEX(Usuarios!$C$5:$C$200,MATCH(B260,Usuarios!$A$5:$A$200,0)),"")</f>
        <v>juanpe</v>
      </c>
      <c r="D260" s="9" t="n">
        <v>50</v>
      </c>
      <c r="E260" s="10" t="str">
        <f aca="false">IFERROR(INDEX(Fases!$B$5:$B$10,MATCH(INDEX(Fixture!$B$5:$B$108,MATCH(D260,Fixture!$A$5:$A$108,0)),Fases!$A$5:$A$10,0)),"")</f>
        <v>Grupos</v>
      </c>
      <c r="F260" s="10" t="str">
        <f aca="false">IFERROR(INDEX(Fixture!$E$5:$E$108,MATCH(D260,Fixture!$A$5:$A$108,0)),"")</f>
        <v>Marruecos</v>
      </c>
      <c r="G260" s="10" t="str">
        <f aca="false">IFERROR(INDEX(Fixture!$F$5:$F$108,MATCH(D260,Fixture!$A$5:$A$108,0)),"")</f>
        <v>Nigeria</v>
      </c>
      <c r="H260" s="22" t="n">
        <f aca="false">IFERROR(INDEX(Fixture!$G$5:$G$108,MATCH(D260,Fixture!$A$5:$A$108,0)),"")</f>
        <v>46200.75</v>
      </c>
      <c r="I260" s="23"/>
      <c r="J260" s="23"/>
      <c r="K260" s="10" t="str">
        <f aca="false">IFERROR(INDEX(Fixture!$I$5:$I$108,MATCH(D260,Fixture!$A$5:$A$108,0))&amp;"-"&amp;INDEX(Fixture!$J$5:$J$108,MATCH(D260,Fixture!$A$5:$A$108,0)),"")</f>
        <v>-</v>
      </c>
      <c r="L260" s="9" t="str">
        <f aca="false">IF(M260&lt;&gt;"FINALIZADO","",IF(OR(ISBLANK(I260),ISBLANK(J260)),0,IF(AND(I260=IFERROR(INDEX(Fixture!$I$5:$I$108,MATCH(D260,Fixture!$A$5:$A$108,0)),"-999"),J260=IFERROR(INDEX(Fixture!$J$5:$J$108,MATCH(D260,Fixture!$A$5:$A$108,0)),"-999")),IFERROR(INDEX(Fases!$C$5:$C$10,MATCH(IFERROR(INDEX(Fixture!$B$5:$B$108,MATCH(D260,Fixture!$A$5:$A$108,0)),0),Fases!$A$5:$A$10,0)),0),IF(OR(AND(I260&gt;J260,IFERROR(INDEX(Fixture!$I$5:$I$108,MATCH(D260,Fixture!$A$5:$A$108,0)),0)&gt;IFERROR(INDEX(Fixture!$J$5:$J$108,MATCH(D260,Fixture!$A$5:$A$108,0)),0)),AND(I260&lt;J260,IFERROR(INDEX(Fixture!$I$5:$I$108,MATCH(D260,Fixture!$A$5:$A$108,0)),0)&lt;IFERROR(INDEX(Fixture!$J$5:$J$108,MATCH(D260,Fixture!$A$5:$A$108,0)),0)),AND(I260=J260,IFERROR(INDEX(Fixture!$I$5:$I$108,MATCH(D260,Fixture!$A$5:$A$108,0)),0)=IFERROR(INDEX(Fixture!$J$5:$J$108,MATCH(D260,Fixture!$A$5:$A$108,0)),0))),IFERROR(INDEX(Fases!$D$5:$D$10,MATCH(IFERROR(INDEX(Fixture!$B$5:$B$108,MATCH(D260,Fixture!$A$5:$A$108,0)),0),Fases!$A$5:$A$10,0)),0),0))))</f>
        <v/>
      </c>
      <c r="M260" s="10" t="str">
        <f aca="false">IFERROR(INDEX(Fixture!$K$5:$K$108,MATCH(D260,Fixture!$A$5:$A$108,0)),"")</f>
        <v>PENDIENTE</v>
      </c>
    </row>
    <row r="261" customFormat="false" ht="15" hidden="false" customHeight="false" outlineLevel="0" collapsed="false">
      <c r="A261" s="11" t="n">
        <v>257</v>
      </c>
      <c r="B261" s="11" t="n">
        <v>3</v>
      </c>
      <c r="C261" s="12" t="str">
        <f aca="false">IFERROR(INDEX(Usuarios!$C$5:$C$200,MATCH(B261,Usuarios!$A$5:$A$200,0)),"")</f>
        <v>juanpe</v>
      </c>
      <c r="D261" s="11" t="n">
        <v>51</v>
      </c>
      <c r="E261" s="12" t="str">
        <f aca="false">IFERROR(INDEX(Fases!$B$5:$B$10,MATCH(INDEX(Fixture!$B$5:$B$108,MATCH(D261,Fixture!$A$5:$A$108,0)),Fases!$A$5:$A$10,0)),"")</f>
        <v>Grupos</v>
      </c>
      <c r="F261" s="12" t="str">
        <f aca="false">IFERROR(INDEX(Fixture!$E$5:$E$108,MATCH(D261,Fixture!$A$5:$A$108,0)),"")</f>
        <v>Marruecos</v>
      </c>
      <c r="G261" s="12" t="str">
        <f aca="false">IFERROR(INDEX(Fixture!$F$5:$F$108,MATCH(D261,Fixture!$A$5:$A$108,0)),"")</f>
        <v>Camerún</v>
      </c>
      <c r="H261" s="20" t="n">
        <f aca="false">IFERROR(INDEX(Fixture!$G$5:$G$108,MATCH(D261,Fixture!$A$5:$A$108,0)),"")</f>
        <v>46200.875</v>
      </c>
      <c r="I261" s="21"/>
      <c r="J261" s="21"/>
      <c r="K261" s="12" t="str">
        <f aca="false">IFERROR(INDEX(Fixture!$I$5:$I$108,MATCH(D261,Fixture!$A$5:$A$108,0))&amp;"-"&amp;INDEX(Fixture!$J$5:$J$108,MATCH(D261,Fixture!$A$5:$A$108,0)),"")</f>
        <v>-</v>
      </c>
      <c r="L261" s="11" t="str">
        <f aca="false">IF(M261&lt;&gt;"FINALIZADO","",IF(OR(ISBLANK(I261),ISBLANK(J261)),0,IF(AND(I261=IFERROR(INDEX(Fixture!$I$5:$I$108,MATCH(D261,Fixture!$A$5:$A$108,0)),"-999"),J261=IFERROR(INDEX(Fixture!$J$5:$J$108,MATCH(D261,Fixture!$A$5:$A$108,0)),"-999")),IFERROR(INDEX(Fases!$C$5:$C$10,MATCH(IFERROR(INDEX(Fixture!$B$5:$B$108,MATCH(D261,Fixture!$A$5:$A$108,0)),0),Fases!$A$5:$A$10,0)),0),IF(OR(AND(I261&gt;J261,IFERROR(INDEX(Fixture!$I$5:$I$108,MATCH(D261,Fixture!$A$5:$A$108,0)),0)&gt;IFERROR(INDEX(Fixture!$J$5:$J$108,MATCH(D261,Fixture!$A$5:$A$108,0)),0)),AND(I261&lt;J261,IFERROR(INDEX(Fixture!$I$5:$I$108,MATCH(D261,Fixture!$A$5:$A$108,0)),0)&lt;IFERROR(INDEX(Fixture!$J$5:$J$108,MATCH(D261,Fixture!$A$5:$A$108,0)),0)),AND(I261=J261,IFERROR(INDEX(Fixture!$I$5:$I$108,MATCH(D261,Fixture!$A$5:$A$108,0)),0)=IFERROR(INDEX(Fixture!$J$5:$J$108,MATCH(D261,Fixture!$A$5:$A$108,0)),0))),IFERROR(INDEX(Fases!$D$5:$D$10,MATCH(IFERROR(INDEX(Fixture!$B$5:$B$108,MATCH(D261,Fixture!$A$5:$A$108,0)),0),Fases!$A$5:$A$10,0)),0),0))))</f>
        <v/>
      </c>
      <c r="M261" s="12" t="str">
        <f aca="false">IFERROR(INDEX(Fixture!$K$5:$K$108,MATCH(D261,Fixture!$A$5:$A$108,0)),"")</f>
        <v>PENDIENTE</v>
      </c>
    </row>
    <row r="262" customFormat="false" ht="15" hidden="false" customHeight="false" outlineLevel="0" collapsed="false">
      <c r="A262" s="9" t="n">
        <v>258</v>
      </c>
      <c r="B262" s="9" t="n">
        <v>3</v>
      </c>
      <c r="C262" s="10" t="str">
        <f aca="false">IFERROR(INDEX(Usuarios!$C$5:$C$200,MATCH(B262,Usuarios!$A$5:$A$200,0)),"")</f>
        <v>juanpe</v>
      </c>
      <c r="D262" s="9" t="n">
        <v>52</v>
      </c>
      <c r="E262" s="10" t="str">
        <f aca="false">IFERROR(INDEX(Fases!$B$5:$B$10,MATCH(INDEX(Fixture!$B$5:$B$108,MATCH(D262,Fixture!$A$5:$A$108,0)),Fases!$A$5:$A$10,0)),"")</f>
        <v>Grupos</v>
      </c>
      <c r="F262" s="10" t="str">
        <f aca="false">IFERROR(INDEX(Fixture!$E$5:$E$108,MATCH(D262,Fixture!$A$5:$A$108,0)),"")</f>
        <v>Senegal</v>
      </c>
      <c r="G262" s="10" t="str">
        <f aca="false">IFERROR(INDEX(Fixture!$F$5:$F$108,MATCH(D262,Fixture!$A$5:$A$108,0)),"")</f>
        <v>Nigeria</v>
      </c>
      <c r="H262" s="22" t="n">
        <f aca="false">IFERROR(INDEX(Fixture!$G$5:$G$108,MATCH(D262,Fixture!$A$5:$A$108,0)),"")</f>
        <v>46201</v>
      </c>
      <c r="I262" s="23"/>
      <c r="J262" s="23"/>
      <c r="K262" s="10" t="str">
        <f aca="false">IFERROR(INDEX(Fixture!$I$5:$I$108,MATCH(D262,Fixture!$A$5:$A$108,0))&amp;"-"&amp;INDEX(Fixture!$J$5:$J$108,MATCH(D262,Fixture!$A$5:$A$108,0)),"")</f>
        <v>-</v>
      </c>
      <c r="L262" s="9" t="str">
        <f aca="false">IF(M262&lt;&gt;"FINALIZADO","",IF(OR(ISBLANK(I262),ISBLANK(J262)),0,IF(AND(I262=IFERROR(INDEX(Fixture!$I$5:$I$108,MATCH(D262,Fixture!$A$5:$A$108,0)),"-999"),J262=IFERROR(INDEX(Fixture!$J$5:$J$108,MATCH(D262,Fixture!$A$5:$A$108,0)),"-999")),IFERROR(INDEX(Fases!$C$5:$C$10,MATCH(IFERROR(INDEX(Fixture!$B$5:$B$108,MATCH(D262,Fixture!$A$5:$A$108,0)),0),Fases!$A$5:$A$10,0)),0),IF(OR(AND(I262&gt;J262,IFERROR(INDEX(Fixture!$I$5:$I$108,MATCH(D262,Fixture!$A$5:$A$108,0)),0)&gt;IFERROR(INDEX(Fixture!$J$5:$J$108,MATCH(D262,Fixture!$A$5:$A$108,0)),0)),AND(I262&lt;J262,IFERROR(INDEX(Fixture!$I$5:$I$108,MATCH(D262,Fixture!$A$5:$A$108,0)),0)&lt;IFERROR(INDEX(Fixture!$J$5:$J$108,MATCH(D262,Fixture!$A$5:$A$108,0)),0)),AND(I262=J262,IFERROR(INDEX(Fixture!$I$5:$I$108,MATCH(D262,Fixture!$A$5:$A$108,0)),0)=IFERROR(INDEX(Fixture!$J$5:$J$108,MATCH(D262,Fixture!$A$5:$A$108,0)),0))),IFERROR(INDEX(Fases!$D$5:$D$10,MATCH(IFERROR(INDEX(Fixture!$B$5:$B$108,MATCH(D262,Fixture!$A$5:$A$108,0)),0),Fases!$A$5:$A$10,0)),0),0))))</f>
        <v/>
      </c>
      <c r="M262" s="10" t="str">
        <f aca="false">IFERROR(INDEX(Fixture!$K$5:$K$108,MATCH(D262,Fixture!$A$5:$A$108,0)),"")</f>
        <v>PENDIENTE</v>
      </c>
    </row>
    <row r="263" customFormat="false" ht="15" hidden="false" customHeight="false" outlineLevel="0" collapsed="false">
      <c r="A263" s="11" t="n">
        <v>259</v>
      </c>
      <c r="B263" s="11" t="n">
        <v>3</v>
      </c>
      <c r="C263" s="12" t="str">
        <f aca="false">IFERROR(INDEX(Usuarios!$C$5:$C$200,MATCH(B263,Usuarios!$A$5:$A$200,0)),"")</f>
        <v>juanpe</v>
      </c>
      <c r="D263" s="11" t="n">
        <v>53</v>
      </c>
      <c r="E263" s="12" t="str">
        <f aca="false">IFERROR(INDEX(Fases!$B$5:$B$10,MATCH(INDEX(Fixture!$B$5:$B$108,MATCH(D263,Fixture!$A$5:$A$108,0)),Fases!$A$5:$A$10,0)),"")</f>
        <v>Grupos</v>
      </c>
      <c r="F263" s="12" t="str">
        <f aca="false">IFERROR(INDEX(Fixture!$E$5:$E$108,MATCH(D263,Fixture!$A$5:$A$108,0)),"")</f>
        <v>Senegal</v>
      </c>
      <c r="G263" s="12" t="str">
        <f aca="false">IFERROR(INDEX(Fixture!$F$5:$F$108,MATCH(D263,Fixture!$A$5:$A$108,0)),"")</f>
        <v>Camerún</v>
      </c>
      <c r="H263" s="20" t="n">
        <f aca="false">IFERROR(INDEX(Fixture!$G$5:$G$108,MATCH(D263,Fixture!$A$5:$A$108,0)),"")</f>
        <v>46201.625</v>
      </c>
      <c r="I263" s="21"/>
      <c r="J263" s="21"/>
      <c r="K263" s="12" t="str">
        <f aca="false">IFERROR(INDEX(Fixture!$I$5:$I$108,MATCH(D263,Fixture!$A$5:$A$108,0))&amp;"-"&amp;INDEX(Fixture!$J$5:$J$108,MATCH(D263,Fixture!$A$5:$A$108,0)),"")</f>
        <v>-</v>
      </c>
      <c r="L263" s="11" t="str">
        <f aca="false">IF(M263&lt;&gt;"FINALIZADO","",IF(OR(ISBLANK(I263),ISBLANK(J263)),0,IF(AND(I263=IFERROR(INDEX(Fixture!$I$5:$I$108,MATCH(D263,Fixture!$A$5:$A$108,0)),"-999"),J263=IFERROR(INDEX(Fixture!$J$5:$J$108,MATCH(D263,Fixture!$A$5:$A$108,0)),"-999")),IFERROR(INDEX(Fases!$C$5:$C$10,MATCH(IFERROR(INDEX(Fixture!$B$5:$B$108,MATCH(D263,Fixture!$A$5:$A$108,0)),0),Fases!$A$5:$A$10,0)),0),IF(OR(AND(I263&gt;J263,IFERROR(INDEX(Fixture!$I$5:$I$108,MATCH(D263,Fixture!$A$5:$A$108,0)),0)&gt;IFERROR(INDEX(Fixture!$J$5:$J$108,MATCH(D263,Fixture!$A$5:$A$108,0)),0)),AND(I263&lt;J263,IFERROR(INDEX(Fixture!$I$5:$I$108,MATCH(D263,Fixture!$A$5:$A$108,0)),0)&lt;IFERROR(INDEX(Fixture!$J$5:$J$108,MATCH(D263,Fixture!$A$5:$A$108,0)),0)),AND(I263=J263,IFERROR(INDEX(Fixture!$I$5:$I$108,MATCH(D263,Fixture!$A$5:$A$108,0)),0)=IFERROR(INDEX(Fixture!$J$5:$J$108,MATCH(D263,Fixture!$A$5:$A$108,0)),0))),IFERROR(INDEX(Fases!$D$5:$D$10,MATCH(IFERROR(INDEX(Fixture!$B$5:$B$108,MATCH(D263,Fixture!$A$5:$A$108,0)),0),Fases!$A$5:$A$10,0)),0),0))))</f>
        <v/>
      </c>
      <c r="M263" s="12" t="str">
        <f aca="false">IFERROR(INDEX(Fixture!$K$5:$K$108,MATCH(D263,Fixture!$A$5:$A$108,0)),"")</f>
        <v>PENDIENTE</v>
      </c>
    </row>
    <row r="264" customFormat="false" ht="15" hidden="false" customHeight="false" outlineLevel="0" collapsed="false">
      <c r="A264" s="9" t="n">
        <v>260</v>
      </c>
      <c r="B264" s="9" t="n">
        <v>3</v>
      </c>
      <c r="C264" s="10" t="str">
        <f aca="false">IFERROR(INDEX(Usuarios!$C$5:$C$200,MATCH(B264,Usuarios!$A$5:$A$200,0)),"")</f>
        <v>juanpe</v>
      </c>
      <c r="D264" s="9" t="n">
        <v>54</v>
      </c>
      <c r="E264" s="10" t="str">
        <f aca="false">IFERROR(INDEX(Fases!$B$5:$B$10,MATCH(INDEX(Fixture!$B$5:$B$108,MATCH(D264,Fixture!$A$5:$A$108,0)),Fases!$A$5:$A$10,0)),"")</f>
        <v>Grupos</v>
      </c>
      <c r="F264" s="10" t="str">
        <f aca="false">IFERROR(INDEX(Fixture!$E$5:$E$108,MATCH(D264,Fixture!$A$5:$A$108,0)),"")</f>
        <v>Nigeria</v>
      </c>
      <c r="G264" s="10" t="str">
        <f aca="false">IFERROR(INDEX(Fixture!$F$5:$F$108,MATCH(D264,Fixture!$A$5:$A$108,0)),"")</f>
        <v>Camerún</v>
      </c>
      <c r="H264" s="22" t="n">
        <f aca="false">IFERROR(INDEX(Fixture!$G$5:$G$108,MATCH(D264,Fixture!$A$5:$A$108,0)),"")</f>
        <v>46201.75</v>
      </c>
      <c r="I264" s="23"/>
      <c r="J264" s="23"/>
      <c r="K264" s="10" t="str">
        <f aca="false">IFERROR(INDEX(Fixture!$I$5:$I$108,MATCH(D264,Fixture!$A$5:$A$108,0))&amp;"-"&amp;INDEX(Fixture!$J$5:$J$108,MATCH(D264,Fixture!$A$5:$A$108,0)),"")</f>
        <v>-</v>
      </c>
      <c r="L264" s="9" t="str">
        <f aca="false">IF(M264&lt;&gt;"FINALIZADO","",IF(OR(ISBLANK(I264),ISBLANK(J264)),0,IF(AND(I264=IFERROR(INDEX(Fixture!$I$5:$I$108,MATCH(D264,Fixture!$A$5:$A$108,0)),"-999"),J264=IFERROR(INDEX(Fixture!$J$5:$J$108,MATCH(D264,Fixture!$A$5:$A$108,0)),"-999")),IFERROR(INDEX(Fases!$C$5:$C$10,MATCH(IFERROR(INDEX(Fixture!$B$5:$B$108,MATCH(D264,Fixture!$A$5:$A$108,0)),0),Fases!$A$5:$A$10,0)),0),IF(OR(AND(I264&gt;J264,IFERROR(INDEX(Fixture!$I$5:$I$108,MATCH(D264,Fixture!$A$5:$A$108,0)),0)&gt;IFERROR(INDEX(Fixture!$J$5:$J$108,MATCH(D264,Fixture!$A$5:$A$108,0)),0)),AND(I264&lt;J264,IFERROR(INDEX(Fixture!$I$5:$I$108,MATCH(D264,Fixture!$A$5:$A$108,0)),0)&lt;IFERROR(INDEX(Fixture!$J$5:$J$108,MATCH(D264,Fixture!$A$5:$A$108,0)),0)),AND(I264=J264,IFERROR(INDEX(Fixture!$I$5:$I$108,MATCH(D264,Fixture!$A$5:$A$108,0)),0)=IFERROR(INDEX(Fixture!$J$5:$J$108,MATCH(D264,Fixture!$A$5:$A$108,0)),0))),IFERROR(INDEX(Fases!$D$5:$D$10,MATCH(IFERROR(INDEX(Fixture!$B$5:$B$108,MATCH(D264,Fixture!$A$5:$A$108,0)),0),Fases!$A$5:$A$10,0)),0),0))))</f>
        <v/>
      </c>
      <c r="M264" s="10" t="str">
        <f aca="false">IFERROR(INDEX(Fixture!$K$5:$K$108,MATCH(D264,Fixture!$A$5:$A$108,0)),"")</f>
        <v>PENDIENTE</v>
      </c>
    </row>
    <row r="265" customFormat="false" ht="15" hidden="false" customHeight="false" outlineLevel="0" collapsed="false">
      <c r="A265" s="11" t="n">
        <v>261</v>
      </c>
      <c r="B265" s="11" t="n">
        <v>3</v>
      </c>
      <c r="C265" s="12" t="str">
        <f aca="false">IFERROR(INDEX(Usuarios!$C$5:$C$200,MATCH(B265,Usuarios!$A$5:$A$200,0)),"")</f>
        <v>juanpe</v>
      </c>
      <c r="D265" s="11" t="n">
        <v>55</v>
      </c>
      <c r="E265" s="12" t="str">
        <f aca="false">IFERROR(INDEX(Fases!$B$5:$B$10,MATCH(INDEX(Fixture!$B$5:$B$108,MATCH(D265,Fixture!$A$5:$A$108,0)),Fases!$A$5:$A$10,0)),"")</f>
        <v>Grupos</v>
      </c>
      <c r="F265" s="12" t="str">
        <f aca="false">IFERROR(INDEX(Fixture!$E$5:$E$108,MATCH(D265,Fixture!$A$5:$A$108,0)),"")</f>
        <v>Egipto</v>
      </c>
      <c r="G265" s="12" t="str">
        <f aca="false">IFERROR(INDEX(Fixture!$F$5:$F$108,MATCH(D265,Fixture!$A$5:$A$108,0)),"")</f>
        <v>Costa de Marfil</v>
      </c>
      <c r="H265" s="20" t="n">
        <f aca="false">IFERROR(INDEX(Fixture!$G$5:$G$108,MATCH(D265,Fixture!$A$5:$A$108,0)),"")</f>
        <v>46202.625</v>
      </c>
      <c r="I265" s="21"/>
      <c r="J265" s="21"/>
      <c r="K265" s="12" t="str">
        <f aca="false">IFERROR(INDEX(Fixture!$I$5:$I$108,MATCH(D265,Fixture!$A$5:$A$108,0))&amp;"-"&amp;INDEX(Fixture!$J$5:$J$108,MATCH(D265,Fixture!$A$5:$A$108,0)),"")</f>
        <v>-</v>
      </c>
      <c r="L265" s="11" t="str">
        <f aca="false">IF(M265&lt;&gt;"FINALIZADO","",IF(OR(ISBLANK(I265),ISBLANK(J265)),0,IF(AND(I265=IFERROR(INDEX(Fixture!$I$5:$I$108,MATCH(D265,Fixture!$A$5:$A$108,0)),"-999"),J265=IFERROR(INDEX(Fixture!$J$5:$J$108,MATCH(D265,Fixture!$A$5:$A$108,0)),"-999")),IFERROR(INDEX(Fases!$C$5:$C$10,MATCH(IFERROR(INDEX(Fixture!$B$5:$B$108,MATCH(D265,Fixture!$A$5:$A$108,0)),0),Fases!$A$5:$A$10,0)),0),IF(OR(AND(I265&gt;J265,IFERROR(INDEX(Fixture!$I$5:$I$108,MATCH(D265,Fixture!$A$5:$A$108,0)),0)&gt;IFERROR(INDEX(Fixture!$J$5:$J$108,MATCH(D265,Fixture!$A$5:$A$108,0)),0)),AND(I265&lt;J265,IFERROR(INDEX(Fixture!$I$5:$I$108,MATCH(D265,Fixture!$A$5:$A$108,0)),0)&lt;IFERROR(INDEX(Fixture!$J$5:$J$108,MATCH(D265,Fixture!$A$5:$A$108,0)),0)),AND(I265=J265,IFERROR(INDEX(Fixture!$I$5:$I$108,MATCH(D265,Fixture!$A$5:$A$108,0)),0)=IFERROR(INDEX(Fixture!$J$5:$J$108,MATCH(D265,Fixture!$A$5:$A$108,0)),0))),IFERROR(INDEX(Fases!$D$5:$D$10,MATCH(IFERROR(INDEX(Fixture!$B$5:$B$108,MATCH(D265,Fixture!$A$5:$A$108,0)),0),Fases!$A$5:$A$10,0)),0),0))))</f>
        <v/>
      </c>
      <c r="M265" s="12" t="str">
        <f aca="false">IFERROR(INDEX(Fixture!$K$5:$K$108,MATCH(D265,Fixture!$A$5:$A$108,0)),"")</f>
        <v>PENDIENTE</v>
      </c>
    </row>
    <row r="266" customFormat="false" ht="15" hidden="false" customHeight="false" outlineLevel="0" collapsed="false">
      <c r="A266" s="9" t="n">
        <v>262</v>
      </c>
      <c r="B266" s="9" t="n">
        <v>3</v>
      </c>
      <c r="C266" s="10" t="str">
        <f aca="false">IFERROR(INDEX(Usuarios!$C$5:$C$200,MATCH(B266,Usuarios!$A$5:$A$200,0)),"")</f>
        <v>juanpe</v>
      </c>
      <c r="D266" s="9" t="n">
        <v>56</v>
      </c>
      <c r="E266" s="10" t="str">
        <f aca="false">IFERROR(INDEX(Fases!$B$5:$B$10,MATCH(INDEX(Fixture!$B$5:$B$108,MATCH(D266,Fixture!$A$5:$A$108,0)),Fases!$A$5:$A$10,0)),"")</f>
        <v>Grupos</v>
      </c>
      <c r="F266" s="10" t="str">
        <f aca="false">IFERROR(INDEX(Fixture!$E$5:$E$108,MATCH(D266,Fixture!$A$5:$A$108,0)),"")</f>
        <v>Egipto</v>
      </c>
      <c r="G266" s="10" t="str">
        <f aca="false">IFERROR(INDEX(Fixture!$F$5:$F$108,MATCH(D266,Fixture!$A$5:$A$108,0)),"")</f>
        <v>Sudáfrica</v>
      </c>
      <c r="H266" s="22" t="n">
        <f aca="false">IFERROR(INDEX(Fixture!$G$5:$G$108,MATCH(D266,Fixture!$A$5:$A$108,0)),"")</f>
        <v>46202.75</v>
      </c>
      <c r="I266" s="23"/>
      <c r="J266" s="23"/>
      <c r="K266" s="10" t="str">
        <f aca="false">IFERROR(INDEX(Fixture!$I$5:$I$108,MATCH(D266,Fixture!$A$5:$A$108,0))&amp;"-"&amp;INDEX(Fixture!$J$5:$J$108,MATCH(D266,Fixture!$A$5:$A$108,0)),"")</f>
        <v>-</v>
      </c>
      <c r="L266" s="9" t="str">
        <f aca="false">IF(M266&lt;&gt;"FINALIZADO","",IF(OR(ISBLANK(I266),ISBLANK(J266)),0,IF(AND(I266=IFERROR(INDEX(Fixture!$I$5:$I$108,MATCH(D266,Fixture!$A$5:$A$108,0)),"-999"),J266=IFERROR(INDEX(Fixture!$J$5:$J$108,MATCH(D266,Fixture!$A$5:$A$108,0)),"-999")),IFERROR(INDEX(Fases!$C$5:$C$10,MATCH(IFERROR(INDEX(Fixture!$B$5:$B$108,MATCH(D266,Fixture!$A$5:$A$108,0)),0),Fases!$A$5:$A$10,0)),0),IF(OR(AND(I266&gt;J266,IFERROR(INDEX(Fixture!$I$5:$I$108,MATCH(D266,Fixture!$A$5:$A$108,0)),0)&gt;IFERROR(INDEX(Fixture!$J$5:$J$108,MATCH(D266,Fixture!$A$5:$A$108,0)),0)),AND(I266&lt;J266,IFERROR(INDEX(Fixture!$I$5:$I$108,MATCH(D266,Fixture!$A$5:$A$108,0)),0)&lt;IFERROR(INDEX(Fixture!$J$5:$J$108,MATCH(D266,Fixture!$A$5:$A$108,0)),0)),AND(I266=J266,IFERROR(INDEX(Fixture!$I$5:$I$108,MATCH(D266,Fixture!$A$5:$A$108,0)),0)=IFERROR(INDEX(Fixture!$J$5:$J$108,MATCH(D266,Fixture!$A$5:$A$108,0)),0))),IFERROR(INDEX(Fases!$D$5:$D$10,MATCH(IFERROR(INDEX(Fixture!$B$5:$B$108,MATCH(D266,Fixture!$A$5:$A$108,0)),0),Fases!$A$5:$A$10,0)),0),0))))</f>
        <v/>
      </c>
      <c r="M266" s="10" t="str">
        <f aca="false">IFERROR(INDEX(Fixture!$K$5:$K$108,MATCH(D266,Fixture!$A$5:$A$108,0)),"")</f>
        <v>PENDIENTE</v>
      </c>
    </row>
    <row r="267" customFormat="false" ht="15" hidden="false" customHeight="false" outlineLevel="0" collapsed="false">
      <c r="A267" s="11" t="n">
        <v>263</v>
      </c>
      <c r="B267" s="11" t="n">
        <v>3</v>
      </c>
      <c r="C267" s="12" t="str">
        <f aca="false">IFERROR(INDEX(Usuarios!$C$5:$C$200,MATCH(B267,Usuarios!$A$5:$A$200,0)),"")</f>
        <v>juanpe</v>
      </c>
      <c r="D267" s="11" t="n">
        <v>57</v>
      </c>
      <c r="E267" s="12" t="str">
        <f aca="false">IFERROR(INDEX(Fases!$B$5:$B$10,MATCH(INDEX(Fixture!$B$5:$B$108,MATCH(D267,Fixture!$A$5:$A$108,0)),Fases!$A$5:$A$10,0)),"")</f>
        <v>Grupos</v>
      </c>
      <c r="F267" s="12" t="str">
        <f aca="false">IFERROR(INDEX(Fixture!$E$5:$E$108,MATCH(D267,Fixture!$A$5:$A$108,0)),"")</f>
        <v>Egipto</v>
      </c>
      <c r="G267" s="12" t="str">
        <f aca="false">IFERROR(INDEX(Fixture!$F$5:$F$108,MATCH(D267,Fixture!$A$5:$A$108,0)),"")</f>
        <v>Ghana</v>
      </c>
      <c r="H267" s="20" t="n">
        <f aca="false">IFERROR(INDEX(Fixture!$G$5:$G$108,MATCH(D267,Fixture!$A$5:$A$108,0)),"")</f>
        <v>46202.875</v>
      </c>
      <c r="I267" s="21"/>
      <c r="J267" s="21"/>
      <c r="K267" s="12" t="str">
        <f aca="false">IFERROR(INDEX(Fixture!$I$5:$I$108,MATCH(D267,Fixture!$A$5:$A$108,0))&amp;"-"&amp;INDEX(Fixture!$J$5:$J$108,MATCH(D267,Fixture!$A$5:$A$108,0)),"")</f>
        <v>-</v>
      </c>
      <c r="L267" s="11" t="str">
        <f aca="false">IF(M267&lt;&gt;"FINALIZADO","",IF(OR(ISBLANK(I267),ISBLANK(J267)),0,IF(AND(I267=IFERROR(INDEX(Fixture!$I$5:$I$108,MATCH(D267,Fixture!$A$5:$A$108,0)),"-999"),J267=IFERROR(INDEX(Fixture!$J$5:$J$108,MATCH(D267,Fixture!$A$5:$A$108,0)),"-999")),IFERROR(INDEX(Fases!$C$5:$C$10,MATCH(IFERROR(INDEX(Fixture!$B$5:$B$108,MATCH(D267,Fixture!$A$5:$A$108,0)),0),Fases!$A$5:$A$10,0)),0),IF(OR(AND(I267&gt;J267,IFERROR(INDEX(Fixture!$I$5:$I$108,MATCH(D267,Fixture!$A$5:$A$108,0)),0)&gt;IFERROR(INDEX(Fixture!$J$5:$J$108,MATCH(D267,Fixture!$A$5:$A$108,0)),0)),AND(I267&lt;J267,IFERROR(INDEX(Fixture!$I$5:$I$108,MATCH(D267,Fixture!$A$5:$A$108,0)),0)&lt;IFERROR(INDEX(Fixture!$J$5:$J$108,MATCH(D267,Fixture!$A$5:$A$108,0)),0)),AND(I267=J267,IFERROR(INDEX(Fixture!$I$5:$I$108,MATCH(D267,Fixture!$A$5:$A$108,0)),0)=IFERROR(INDEX(Fixture!$J$5:$J$108,MATCH(D267,Fixture!$A$5:$A$108,0)),0))),IFERROR(INDEX(Fases!$D$5:$D$10,MATCH(IFERROR(INDEX(Fixture!$B$5:$B$108,MATCH(D267,Fixture!$A$5:$A$108,0)),0),Fases!$A$5:$A$10,0)),0),0))))</f>
        <v/>
      </c>
      <c r="M267" s="12" t="str">
        <f aca="false">IFERROR(INDEX(Fixture!$K$5:$K$108,MATCH(D267,Fixture!$A$5:$A$108,0)),"")</f>
        <v>PENDIENTE</v>
      </c>
    </row>
    <row r="268" customFormat="false" ht="15" hidden="false" customHeight="false" outlineLevel="0" collapsed="false">
      <c r="A268" s="9" t="n">
        <v>264</v>
      </c>
      <c r="B268" s="9" t="n">
        <v>3</v>
      </c>
      <c r="C268" s="10" t="str">
        <f aca="false">IFERROR(INDEX(Usuarios!$C$5:$C$200,MATCH(B268,Usuarios!$A$5:$A$200,0)),"")</f>
        <v>juanpe</v>
      </c>
      <c r="D268" s="9" t="n">
        <v>58</v>
      </c>
      <c r="E268" s="10" t="str">
        <f aca="false">IFERROR(INDEX(Fases!$B$5:$B$10,MATCH(INDEX(Fixture!$B$5:$B$108,MATCH(D268,Fixture!$A$5:$A$108,0)),Fases!$A$5:$A$10,0)),"")</f>
        <v>Grupos</v>
      </c>
      <c r="F268" s="10" t="str">
        <f aca="false">IFERROR(INDEX(Fixture!$E$5:$E$108,MATCH(D268,Fixture!$A$5:$A$108,0)),"")</f>
        <v>Costa de Marfil</v>
      </c>
      <c r="G268" s="10" t="str">
        <f aca="false">IFERROR(INDEX(Fixture!$F$5:$F$108,MATCH(D268,Fixture!$A$5:$A$108,0)),"")</f>
        <v>Sudáfrica</v>
      </c>
      <c r="H268" s="22" t="n">
        <f aca="false">IFERROR(INDEX(Fixture!$G$5:$G$108,MATCH(D268,Fixture!$A$5:$A$108,0)),"")</f>
        <v>46203</v>
      </c>
      <c r="I268" s="23"/>
      <c r="J268" s="23"/>
      <c r="K268" s="10" t="str">
        <f aca="false">IFERROR(INDEX(Fixture!$I$5:$I$108,MATCH(D268,Fixture!$A$5:$A$108,0))&amp;"-"&amp;INDEX(Fixture!$J$5:$J$108,MATCH(D268,Fixture!$A$5:$A$108,0)),"")</f>
        <v>-</v>
      </c>
      <c r="L268" s="9" t="str">
        <f aca="false">IF(M268&lt;&gt;"FINALIZADO","",IF(OR(ISBLANK(I268),ISBLANK(J268)),0,IF(AND(I268=IFERROR(INDEX(Fixture!$I$5:$I$108,MATCH(D268,Fixture!$A$5:$A$108,0)),"-999"),J268=IFERROR(INDEX(Fixture!$J$5:$J$108,MATCH(D268,Fixture!$A$5:$A$108,0)),"-999")),IFERROR(INDEX(Fases!$C$5:$C$10,MATCH(IFERROR(INDEX(Fixture!$B$5:$B$108,MATCH(D268,Fixture!$A$5:$A$108,0)),0),Fases!$A$5:$A$10,0)),0),IF(OR(AND(I268&gt;J268,IFERROR(INDEX(Fixture!$I$5:$I$108,MATCH(D268,Fixture!$A$5:$A$108,0)),0)&gt;IFERROR(INDEX(Fixture!$J$5:$J$108,MATCH(D268,Fixture!$A$5:$A$108,0)),0)),AND(I268&lt;J268,IFERROR(INDEX(Fixture!$I$5:$I$108,MATCH(D268,Fixture!$A$5:$A$108,0)),0)&lt;IFERROR(INDEX(Fixture!$J$5:$J$108,MATCH(D268,Fixture!$A$5:$A$108,0)),0)),AND(I268=J268,IFERROR(INDEX(Fixture!$I$5:$I$108,MATCH(D268,Fixture!$A$5:$A$108,0)),0)=IFERROR(INDEX(Fixture!$J$5:$J$108,MATCH(D268,Fixture!$A$5:$A$108,0)),0))),IFERROR(INDEX(Fases!$D$5:$D$10,MATCH(IFERROR(INDEX(Fixture!$B$5:$B$108,MATCH(D268,Fixture!$A$5:$A$108,0)),0),Fases!$A$5:$A$10,0)),0),0))))</f>
        <v/>
      </c>
      <c r="M268" s="10" t="str">
        <f aca="false">IFERROR(INDEX(Fixture!$K$5:$K$108,MATCH(D268,Fixture!$A$5:$A$108,0)),"")</f>
        <v>PENDIENTE</v>
      </c>
    </row>
    <row r="269" customFormat="false" ht="15" hidden="false" customHeight="false" outlineLevel="0" collapsed="false">
      <c r="A269" s="11" t="n">
        <v>265</v>
      </c>
      <c r="B269" s="11" t="n">
        <v>3</v>
      </c>
      <c r="C269" s="12" t="str">
        <f aca="false">IFERROR(INDEX(Usuarios!$C$5:$C$200,MATCH(B269,Usuarios!$A$5:$A$200,0)),"")</f>
        <v>juanpe</v>
      </c>
      <c r="D269" s="11" t="n">
        <v>59</v>
      </c>
      <c r="E269" s="12" t="str">
        <f aca="false">IFERROR(INDEX(Fases!$B$5:$B$10,MATCH(INDEX(Fixture!$B$5:$B$108,MATCH(D269,Fixture!$A$5:$A$108,0)),Fases!$A$5:$A$10,0)),"")</f>
        <v>Grupos</v>
      </c>
      <c r="F269" s="12" t="str">
        <f aca="false">IFERROR(INDEX(Fixture!$E$5:$E$108,MATCH(D269,Fixture!$A$5:$A$108,0)),"")</f>
        <v>Costa de Marfil</v>
      </c>
      <c r="G269" s="12" t="str">
        <f aca="false">IFERROR(INDEX(Fixture!$F$5:$F$108,MATCH(D269,Fixture!$A$5:$A$108,0)),"")</f>
        <v>Ghana</v>
      </c>
      <c r="H269" s="20" t="n">
        <f aca="false">IFERROR(INDEX(Fixture!$G$5:$G$108,MATCH(D269,Fixture!$A$5:$A$108,0)),"")</f>
        <v>46203.625</v>
      </c>
      <c r="I269" s="21"/>
      <c r="J269" s="21"/>
      <c r="K269" s="12" t="str">
        <f aca="false">IFERROR(INDEX(Fixture!$I$5:$I$108,MATCH(D269,Fixture!$A$5:$A$108,0))&amp;"-"&amp;INDEX(Fixture!$J$5:$J$108,MATCH(D269,Fixture!$A$5:$A$108,0)),"")</f>
        <v>-</v>
      </c>
      <c r="L269" s="11" t="str">
        <f aca="false">IF(M269&lt;&gt;"FINALIZADO","",IF(OR(ISBLANK(I269),ISBLANK(J269)),0,IF(AND(I269=IFERROR(INDEX(Fixture!$I$5:$I$108,MATCH(D269,Fixture!$A$5:$A$108,0)),"-999"),J269=IFERROR(INDEX(Fixture!$J$5:$J$108,MATCH(D269,Fixture!$A$5:$A$108,0)),"-999")),IFERROR(INDEX(Fases!$C$5:$C$10,MATCH(IFERROR(INDEX(Fixture!$B$5:$B$108,MATCH(D269,Fixture!$A$5:$A$108,0)),0),Fases!$A$5:$A$10,0)),0),IF(OR(AND(I269&gt;J269,IFERROR(INDEX(Fixture!$I$5:$I$108,MATCH(D269,Fixture!$A$5:$A$108,0)),0)&gt;IFERROR(INDEX(Fixture!$J$5:$J$108,MATCH(D269,Fixture!$A$5:$A$108,0)),0)),AND(I269&lt;J269,IFERROR(INDEX(Fixture!$I$5:$I$108,MATCH(D269,Fixture!$A$5:$A$108,0)),0)&lt;IFERROR(INDEX(Fixture!$J$5:$J$108,MATCH(D269,Fixture!$A$5:$A$108,0)),0)),AND(I269=J269,IFERROR(INDEX(Fixture!$I$5:$I$108,MATCH(D269,Fixture!$A$5:$A$108,0)),0)=IFERROR(INDEX(Fixture!$J$5:$J$108,MATCH(D269,Fixture!$A$5:$A$108,0)),0))),IFERROR(INDEX(Fases!$D$5:$D$10,MATCH(IFERROR(INDEX(Fixture!$B$5:$B$108,MATCH(D269,Fixture!$A$5:$A$108,0)),0),Fases!$A$5:$A$10,0)),0),0))))</f>
        <v/>
      </c>
      <c r="M269" s="12" t="str">
        <f aca="false">IFERROR(INDEX(Fixture!$K$5:$K$108,MATCH(D269,Fixture!$A$5:$A$108,0)),"")</f>
        <v>PENDIENTE</v>
      </c>
    </row>
    <row r="270" customFormat="false" ht="15" hidden="false" customHeight="false" outlineLevel="0" collapsed="false">
      <c r="A270" s="9" t="n">
        <v>266</v>
      </c>
      <c r="B270" s="9" t="n">
        <v>3</v>
      </c>
      <c r="C270" s="10" t="str">
        <f aca="false">IFERROR(INDEX(Usuarios!$C$5:$C$200,MATCH(B270,Usuarios!$A$5:$A$200,0)),"")</f>
        <v>juanpe</v>
      </c>
      <c r="D270" s="9" t="n">
        <v>60</v>
      </c>
      <c r="E270" s="10" t="str">
        <f aca="false">IFERROR(INDEX(Fases!$B$5:$B$10,MATCH(INDEX(Fixture!$B$5:$B$108,MATCH(D270,Fixture!$A$5:$A$108,0)),Fases!$A$5:$A$10,0)),"")</f>
        <v>Grupos</v>
      </c>
      <c r="F270" s="10" t="str">
        <f aca="false">IFERROR(INDEX(Fixture!$E$5:$E$108,MATCH(D270,Fixture!$A$5:$A$108,0)),"")</f>
        <v>Sudáfrica</v>
      </c>
      <c r="G270" s="10" t="str">
        <f aca="false">IFERROR(INDEX(Fixture!$F$5:$F$108,MATCH(D270,Fixture!$A$5:$A$108,0)),"")</f>
        <v>Ghana</v>
      </c>
      <c r="H270" s="22" t="n">
        <f aca="false">IFERROR(INDEX(Fixture!$G$5:$G$108,MATCH(D270,Fixture!$A$5:$A$108,0)),"")</f>
        <v>46203.75</v>
      </c>
      <c r="I270" s="23"/>
      <c r="J270" s="23"/>
      <c r="K270" s="10" t="str">
        <f aca="false">IFERROR(INDEX(Fixture!$I$5:$I$108,MATCH(D270,Fixture!$A$5:$A$108,0))&amp;"-"&amp;INDEX(Fixture!$J$5:$J$108,MATCH(D270,Fixture!$A$5:$A$108,0)),"")</f>
        <v>-</v>
      </c>
      <c r="L270" s="9" t="str">
        <f aca="false">IF(M270&lt;&gt;"FINALIZADO","",IF(OR(ISBLANK(I270),ISBLANK(J270)),0,IF(AND(I270=IFERROR(INDEX(Fixture!$I$5:$I$108,MATCH(D270,Fixture!$A$5:$A$108,0)),"-999"),J270=IFERROR(INDEX(Fixture!$J$5:$J$108,MATCH(D270,Fixture!$A$5:$A$108,0)),"-999")),IFERROR(INDEX(Fases!$C$5:$C$10,MATCH(IFERROR(INDEX(Fixture!$B$5:$B$108,MATCH(D270,Fixture!$A$5:$A$108,0)),0),Fases!$A$5:$A$10,0)),0),IF(OR(AND(I270&gt;J270,IFERROR(INDEX(Fixture!$I$5:$I$108,MATCH(D270,Fixture!$A$5:$A$108,0)),0)&gt;IFERROR(INDEX(Fixture!$J$5:$J$108,MATCH(D270,Fixture!$A$5:$A$108,0)),0)),AND(I270&lt;J270,IFERROR(INDEX(Fixture!$I$5:$I$108,MATCH(D270,Fixture!$A$5:$A$108,0)),0)&lt;IFERROR(INDEX(Fixture!$J$5:$J$108,MATCH(D270,Fixture!$A$5:$A$108,0)),0)),AND(I270=J270,IFERROR(INDEX(Fixture!$I$5:$I$108,MATCH(D270,Fixture!$A$5:$A$108,0)),0)=IFERROR(INDEX(Fixture!$J$5:$J$108,MATCH(D270,Fixture!$A$5:$A$108,0)),0))),IFERROR(INDEX(Fases!$D$5:$D$10,MATCH(IFERROR(INDEX(Fixture!$B$5:$B$108,MATCH(D270,Fixture!$A$5:$A$108,0)),0),Fases!$A$5:$A$10,0)),0),0))))</f>
        <v/>
      </c>
      <c r="M270" s="10" t="str">
        <f aca="false">IFERROR(INDEX(Fixture!$K$5:$K$108,MATCH(D270,Fixture!$A$5:$A$108,0)),"")</f>
        <v>PENDIENTE</v>
      </c>
    </row>
    <row r="271" customFormat="false" ht="15" hidden="false" customHeight="false" outlineLevel="0" collapsed="false">
      <c r="A271" s="11" t="n">
        <v>267</v>
      </c>
      <c r="B271" s="11" t="n">
        <v>3</v>
      </c>
      <c r="C271" s="12" t="str">
        <f aca="false">IFERROR(INDEX(Usuarios!$C$5:$C$200,MATCH(B271,Usuarios!$A$5:$A$200,0)),"")</f>
        <v>juanpe</v>
      </c>
      <c r="D271" s="11" t="n">
        <v>61</v>
      </c>
      <c r="E271" s="12" t="str">
        <f aca="false">IFERROR(INDEX(Fases!$B$5:$B$10,MATCH(INDEX(Fixture!$B$5:$B$108,MATCH(D271,Fixture!$A$5:$A$108,0)),Fases!$A$5:$A$10,0)),"")</f>
        <v>Grupos</v>
      </c>
      <c r="F271" s="12" t="str">
        <f aca="false">IFERROR(INDEX(Fixture!$E$5:$E$108,MATCH(D271,Fixture!$A$5:$A$108,0)),"")</f>
        <v>Japón</v>
      </c>
      <c r="G271" s="12" t="str">
        <f aca="false">IFERROR(INDEX(Fixture!$F$5:$F$108,MATCH(D271,Fixture!$A$5:$A$108,0)),"")</f>
        <v>Corea del Sur</v>
      </c>
      <c r="H271" s="20" t="n">
        <f aca="false">IFERROR(INDEX(Fixture!$G$5:$G$108,MATCH(D271,Fixture!$A$5:$A$108,0)),"")</f>
        <v>46204.625</v>
      </c>
      <c r="I271" s="21"/>
      <c r="J271" s="21"/>
      <c r="K271" s="12" t="str">
        <f aca="false">IFERROR(INDEX(Fixture!$I$5:$I$108,MATCH(D271,Fixture!$A$5:$A$108,0))&amp;"-"&amp;INDEX(Fixture!$J$5:$J$108,MATCH(D271,Fixture!$A$5:$A$108,0)),"")</f>
        <v>-</v>
      </c>
      <c r="L271" s="11" t="str">
        <f aca="false">IF(M271&lt;&gt;"FINALIZADO","",IF(OR(ISBLANK(I271),ISBLANK(J271)),0,IF(AND(I271=IFERROR(INDEX(Fixture!$I$5:$I$108,MATCH(D271,Fixture!$A$5:$A$108,0)),"-999"),J271=IFERROR(INDEX(Fixture!$J$5:$J$108,MATCH(D271,Fixture!$A$5:$A$108,0)),"-999")),IFERROR(INDEX(Fases!$C$5:$C$10,MATCH(IFERROR(INDEX(Fixture!$B$5:$B$108,MATCH(D271,Fixture!$A$5:$A$108,0)),0),Fases!$A$5:$A$10,0)),0),IF(OR(AND(I271&gt;J271,IFERROR(INDEX(Fixture!$I$5:$I$108,MATCH(D271,Fixture!$A$5:$A$108,0)),0)&gt;IFERROR(INDEX(Fixture!$J$5:$J$108,MATCH(D271,Fixture!$A$5:$A$108,0)),0)),AND(I271&lt;J271,IFERROR(INDEX(Fixture!$I$5:$I$108,MATCH(D271,Fixture!$A$5:$A$108,0)),0)&lt;IFERROR(INDEX(Fixture!$J$5:$J$108,MATCH(D271,Fixture!$A$5:$A$108,0)),0)),AND(I271=J271,IFERROR(INDEX(Fixture!$I$5:$I$108,MATCH(D271,Fixture!$A$5:$A$108,0)),0)=IFERROR(INDEX(Fixture!$J$5:$J$108,MATCH(D271,Fixture!$A$5:$A$108,0)),0))),IFERROR(INDEX(Fases!$D$5:$D$10,MATCH(IFERROR(INDEX(Fixture!$B$5:$B$108,MATCH(D271,Fixture!$A$5:$A$108,0)),0),Fases!$A$5:$A$10,0)),0),0))))</f>
        <v/>
      </c>
      <c r="M271" s="12" t="str">
        <f aca="false">IFERROR(INDEX(Fixture!$K$5:$K$108,MATCH(D271,Fixture!$A$5:$A$108,0)),"")</f>
        <v>PENDIENTE</v>
      </c>
    </row>
    <row r="272" customFormat="false" ht="15" hidden="false" customHeight="false" outlineLevel="0" collapsed="false">
      <c r="A272" s="9" t="n">
        <v>268</v>
      </c>
      <c r="B272" s="9" t="n">
        <v>3</v>
      </c>
      <c r="C272" s="10" t="str">
        <f aca="false">IFERROR(INDEX(Usuarios!$C$5:$C$200,MATCH(B272,Usuarios!$A$5:$A$200,0)),"")</f>
        <v>juanpe</v>
      </c>
      <c r="D272" s="9" t="n">
        <v>62</v>
      </c>
      <c r="E272" s="10" t="str">
        <f aca="false">IFERROR(INDEX(Fases!$B$5:$B$10,MATCH(INDEX(Fixture!$B$5:$B$108,MATCH(D272,Fixture!$A$5:$A$108,0)),Fases!$A$5:$A$10,0)),"")</f>
        <v>Grupos</v>
      </c>
      <c r="F272" s="10" t="str">
        <f aca="false">IFERROR(INDEX(Fixture!$E$5:$E$108,MATCH(D272,Fixture!$A$5:$A$108,0)),"")</f>
        <v>Japón</v>
      </c>
      <c r="G272" s="10" t="str">
        <f aca="false">IFERROR(INDEX(Fixture!$F$5:$F$108,MATCH(D272,Fixture!$A$5:$A$108,0)),"")</f>
        <v>Arabia Saudita</v>
      </c>
      <c r="H272" s="22" t="n">
        <f aca="false">IFERROR(INDEX(Fixture!$G$5:$G$108,MATCH(D272,Fixture!$A$5:$A$108,0)),"")</f>
        <v>46204.75</v>
      </c>
      <c r="I272" s="23"/>
      <c r="J272" s="23"/>
      <c r="K272" s="10" t="str">
        <f aca="false">IFERROR(INDEX(Fixture!$I$5:$I$108,MATCH(D272,Fixture!$A$5:$A$108,0))&amp;"-"&amp;INDEX(Fixture!$J$5:$J$108,MATCH(D272,Fixture!$A$5:$A$108,0)),"")</f>
        <v>-</v>
      </c>
      <c r="L272" s="9" t="str">
        <f aca="false">IF(M272&lt;&gt;"FINALIZADO","",IF(OR(ISBLANK(I272),ISBLANK(J272)),0,IF(AND(I272=IFERROR(INDEX(Fixture!$I$5:$I$108,MATCH(D272,Fixture!$A$5:$A$108,0)),"-999"),J272=IFERROR(INDEX(Fixture!$J$5:$J$108,MATCH(D272,Fixture!$A$5:$A$108,0)),"-999")),IFERROR(INDEX(Fases!$C$5:$C$10,MATCH(IFERROR(INDEX(Fixture!$B$5:$B$108,MATCH(D272,Fixture!$A$5:$A$108,0)),0),Fases!$A$5:$A$10,0)),0),IF(OR(AND(I272&gt;J272,IFERROR(INDEX(Fixture!$I$5:$I$108,MATCH(D272,Fixture!$A$5:$A$108,0)),0)&gt;IFERROR(INDEX(Fixture!$J$5:$J$108,MATCH(D272,Fixture!$A$5:$A$108,0)),0)),AND(I272&lt;J272,IFERROR(INDEX(Fixture!$I$5:$I$108,MATCH(D272,Fixture!$A$5:$A$108,0)),0)&lt;IFERROR(INDEX(Fixture!$J$5:$J$108,MATCH(D272,Fixture!$A$5:$A$108,0)),0)),AND(I272=J272,IFERROR(INDEX(Fixture!$I$5:$I$108,MATCH(D272,Fixture!$A$5:$A$108,0)),0)=IFERROR(INDEX(Fixture!$J$5:$J$108,MATCH(D272,Fixture!$A$5:$A$108,0)),0))),IFERROR(INDEX(Fases!$D$5:$D$10,MATCH(IFERROR(INDEX(Fixture!$B$5:$B$108,MATCH(D272,Fixture!$A$5:$A$108,0)),0),Fases!$A$5:$A$10,0)),0),0))))</f>
        <v/>
      </c>
      <c r="M272" s="10" t="str">
        <f aca="false">IFERROR(INDEX(Fixture!$K$5:$K$108,MATCH(D272,Fixture!$A$5:$A$108,0)),"")</f>
        <v>PENDIENTE</v>
      </c>
    </row>
    <row r="273" customFormat="false" ht="15" hidden="false" customHeight="false" outlineLevel="0" collapsed="false">
      <c r="A273" s="11" t="n">
        <v>269</v>
      </c>
      <c r="B273" s="11" t="n">
        <v>3</v>
      </c>
      <c r="C273" s="12" t="str">
        <f aca="false">IFERROR(INDEX(Usuarios!$C$5:$C$200,MATCH(B273,Usuarios!$A$5:$A$200,0)),"")</f>
        <v>juanpe</v>
      </c>
      <c r="D273" s="11" t="n">
        <v>63</v>
      </c>
      <c r="E273" s="12" t="str">
        <f aca="false">IFERROR(INDEX(Fases!$B$5:$B$10,MATCH(INDEX(Fixture!$B$5:$B$108,MATCH(D273,Fixture!$A$5:$A$108,0)),Fases!$A$5:$A$10,0)),"")</f>
        <v>Grupos</v>
      </c>
      <c r="F273" s="12" t="str">
        <f aca="false">IFERROR(INDEX(Fixture!$E$5:$E$108,MATCH(D273,Fixture!$A$5:$A$108,0)),"")</f>
        <v>Japón</v>
      </c>
      <c r="G273" s="12" t="str">
        <f aca="false">IFERROR(INDEX(Fixture!$F$5:$F$108,MATCH(D273,Fixture!$A$5:$A$108,0)),"")</f>
        <v>Australia</v>
      </c>
      <c r="H273" s="20" t="n">
        <f aca="false">IFERROR(INDEX(Fixture!$G$5:$G$108,MATCH(D273,Fixture!$A$5:$A$108,0)),"")</f>
        <v>46204.875</v>
      </c>
      <c r="I273" s="21"/>
      <c r="J273" s="21"/>
      <c r="K273" s="12" t="str">
        <f aca="false">IFERROR(INDEX(Fixture!$I$5:$I$108,MATCH(D273,Fixture!$A$5:$A$108,0))&amp;"-"&amp;INDEX(Fixture!$J$5:$J$108,MATCH(D273,Fixture!$A$5:$A$108,0)),"")</f>
        <v>-</v>
      </c>
      <c r="L273" s="11" t="str">
        <f aca="false">IF(M273&lt;&gt;"FINALIZADO","",IF(OR(ISBLANK(I273),ISBLANK(J273)),0,IF(AND(I273=IFERROR(INDEX(Fixture!$I$5:$I$108,MATCH(D273,Fixture!$A$5:$A$108,0)),"-999"),J273=IFERROR(INDEX(Fixture!$J$5:$J$108,MATCH(D273,Fixture!$A$5:$A$108,0)),"-999")),IFERROR(INDEX(Fases!$C$5:$C$10,MATCH(IFERROR(INDEX(Fixture!$B$5:$B$108,MATCH(D273,Fixture!$A$5:$A$108,0)),0),Fases!$A$5:$A$10,0)),0),IF(OR(AND(I273&gt;J273,IFERROR(INDEX(Fixture!$I$5:$I$108,MATCH(D273,Fixture!$A$5:$A$108,0)),0)&gt;IFERROR(INDEX(Fixture!$J$5:$J$108,MATCH(D273,Fixture!$A$5:$A$108,0)),0)),AND(I273&lt;J273,IFERROR(INDEX(Fixture!$I$5:$I$108,MATCH(D273,Fixture!$A$5:$A$108,0)),0)&lt;IFERROR(INDEX(Fixture!$J$5:$J$108,MATCH(D273,Fixture!$A$5:$A$108,0)),0)),AND(I273=J273,IFERROR(INDEX(Fixture!$I$5:$I$108,MATCH(D273,Fixture!$A$5:$A$108,0)),0)=IFERROR(INDEX(Fixture!$J$5:$J$108,MATCH(D273,Fixture!$A$5:$A$108,0)),0))),IFERROR(INDEX(Fases!$D$5:$D$10,MATCH(IFERROR(INDEX(Fixture!$B$5:$B$108,MATCH(D273,Fixture!$A$5:$A$108,0)),0),Fases!$A$5:$A$10,0)),0),0))))</f>
        <v/>
      </c>
      <c r="M273" s="12" t="str">
        <f aca="false">IFERROR(INDEX(Fixture!$K$5:$K$108,MATCH(D273,Fixture!$A$5:$A$108,0)),"")</f>
        <v>PENDIENTE</v>
      </c>
    </row>
    <row r="274" customFormat="false" ht="15" hidden="false" customHeight="false" outlineLevel="0" collapsed="false">
      <c r="A274" s="9" t="n">
        <v>270</v>
      </c>
      <c r="B274" s="9" t="n">
        <v>3</v>
      </c>
      <c r="C274" s="10" t="str">
        <f aca="false">IFERROR(INDEX(Usuarios!$C$5:$C$200,MATCH(B274,Usuarios!$A$5:$A$200,0)),"")</f>
        <v>juanpe</v>
      </c>
      <c r="D274" s="9" t="n">
        <v>64</v>
      </c>
      <c r="E274" s="10" t="str">
        <f aca="false">IFERROR(INDEX(Fases!$B$5:$B$10,MATCH(INDEX(Fixture!$B$5:$B$108,MATCH(D274,Fixture!$A$5:$A$108,0)),Fases!$A$5:$A$10,0)),"")</f>
        <v>Grupos</v>
      </c>
      <c r="F274" s="10" t="str">
        <f aca="false">IFERROR(INDEX(Fixture!$E$5:$E$108,MATCH(D274,Fixture!$A$5:$A$108,0)),"")</f>
        <v>Corea del Sur</v>
      </c>
      <c r="G274" s="10" t="str">
        <f aca="false">IFERROR(INDEX(Fixture!$F$5:$F$108,MATCH(D274,Fixture!$A$5:$A$108,0)),"")</f>
        <v>Arabia Saudita</v>
      </c>
      <c r="H274" s="22" t="n">
        <f aca="false">IFERROR(INDEX(Fixture!$G$5:$G$108,MATCH(D274,Fixture!$A$5:$A$108,0)),"")</f>
        <v>46205</v>
      </c>
      <c r="I274" s="23"/>
      <c r="J274" s="23"/>
      <c r="K274" s="10" t="str">
        <f aca="false">IFERROR(INDEX(Fixture!$I$5:$I$108,MATCH(D274,Fixture!$A$5:$A$108,0))&amp;"-"&amp;INDEX(Fixture!$J$5:$J$108,MATCH(D274,Fixture!$A$5:$A$108,0)),"")</f>
        <v>-</v>
      </c>
      <c r="L274" s="9" t="str">
        <f aca="false">IF(M274&lt;&gt;"FINALIZADO","",IF(OR(ISBLANK(I274),ISBLANK(J274)),0,IF(AND(I274=IFERROR(INDEX(Fixture!$I$5:$I$108,MATCH(D274,Fixture!$A$5:$A$108,0)),"-999"),J274=IFERROR(INDEX(Fixture!$J$5:$J$108,MATCH(D274,Fixture!$A$5:$A$108,0)),"-999")),IFERROR(INDEX(Fases!$C$5:$C$10,MATCH(IFERROR(INDEX(Fixture!$B$5:$B$108,MATCH(D274,Fixture!$A$5:$A$108,0)),0),Fases!$A$5:$A$10,0)),0),IF(OR(AND(I274&gt;J274,IFERROR(INDEX(Fixture!$I$5:$I$108,MATCH(D274,Fixture!$A$5:$A$108,0)),0)&gt;IFERROR(INDEX(Fixture!$J$5:$J$108,MATCH(D274,Fixture!$A$5:$A$108,0)),0)),AND(I274&lt;J274,IFERROR(INDEX(Fixture!$I$5:$I$108,MATCH(D274,Fixture!$A$5:$A$108,0)),0)&lt;IFERROR(INDEX(Fixture!$J$5:$J$108,MATCH(D274,Fixture!$A$5:$A$108,0)),0)),AND(I274=J274,IFERROR(INDEX(Fixture!$I$5:$I$108,MATCH(D274,Fixture!$A$5:$A$108,0)),0)=IFERROR(INDEX(Fixture!$J$5:$J$108,MATCH(D274,Fixture!$A$5:$A$108,0)),0))),IFERROR(INDEX(Fases!$D$5:$D$10,MATCH(IFERROR(INDEX(Fixture!$B$5:$B$108,MATCH(D274,Fixture!$A$5:$A$108,0)),0),Fases!$A$5:$A$10,0)),0),0))))</f>
        <v/>
      </c>
      <c r="M274" s="10" t="str">
        <f aca="false">IFERROR(INDEX(Fixture!$K$5:$K$108,MATCH(D274,Fixture!$A$5:$A$108,0)),"")</f>
        <v>PENDIENTE</v>
      </c>
    </row>
    <row r="275" customFormat="false" ht="15" hidden="false" customHeight="false" outlineLevel="0" collapsed="false">
      <c r="A275" s="11" t="n">
        <v>271</v>
      </c>
      <c r="B275" s="11" t="n">
        <v>3</v>
      </c>
      <c r="C275" s="12" t="str">
        <f aca="false">IFERROR(INDEX(Usuarios!$C$5:$C$200,MATCH(B275,Usuarios!$A$5:$A$200,0)),"")</f>
        <v>juanpe</v>
      </c>
      <c r="D275" s="11" t="n">
        <v>65</v>
      </c>
      <c r="E275" s="12" t="str">
        <f aca="false">IFERROR(INDEX(Fases!$B$5:$B$10,MATCH(INDEX(Fixture!$B$5:$B$108,MATCH(D275,Fixture!$A$5:$A$108,0)),Fases!$A$5:$A$10,0)),"")</f>
        <v>Grupos</v>
      </c>
      <c r="F275" s="12" t="str">
        <f aca="false">IFERROR(INDEX(Fixture!$E$5:$E$108,MATCH(D275,Fixture!$A$5:$A$108,0)),"")</f>
        <v>Corea del Sur</v>
      </c>
      <c r="G275" s="12" t="str">
        <f aca="false">IFERROR(INDEX(Fixture!$F$5:$F$108,MATCH(D275,Fixture!$A$5:$A$108,0)),"")</f>
        <v>Australia</v>
      </c>
      <c r="H275" s="20" t="n">
        <f aca="false">IFERROR(INDEX(Fixture!$G$5:$G$108,MATCH(D275,Fixture!$A$5:$A$108,0)),"")</f>
        <v>46205.625</v>
      </c>
      <c r="I275" s="21"/>
      <c r="J275" s="21"/>
      <c r="K275" s="12" t="str">
        <f aca="false">IFERROR(INDEX(Fixture!$I$5:$I$108,MATCH(D275,Fixture!$A$5:$A$108,0))&amp;"-"&amp;INDEX(Fixture!$J$5:$J$108,MATCH(D275,Fixture!$A$5:$A$108,0)),"")</f>
        <v>-</v>
      </c>
      <c r="L275" s="11" t="str">
        <f aca="false">IF(M275&lt;&gt;"FINALIZADO","",IF(OR(ISBLANK(I275),ISBLANK(J275)),0,IF(AND(I275=IFERROR(INDEX(Fixture!$I$5:$I$108,MATCH(D275,Fixture!$A$5:$A$108,0)),"-999"),J275=IFERROR(INDEX(Fixture!$J$5:$J$108,MATCH(D275,Fixture!$A$5:$A$108,0)),"-999")),IFERROR(INDEX(Fases!$C$5:$C$10,MATCH(IFERROR(INDEX(Fixture!$B$5:$B$108,MATCH(D275,Fixture!$A$5:$A$108,0)),0),Fases!$A$5:$A$10,0)),0),IF(OR(AND(I275&gt;J275,IFERROR(INDEX(Fixture!$I$5:$I$108,MATCH(D275,Fixture!$A$5:$A$108,0)),0)&gt;IFERROR(INDEX(Fixture!$J$5:$J$108,MATCH(D275,Fixture!$A$5:$A$108,0)),0)),AND(I275&lt;J275,IFERROR(INDEX(Fixture!$I$5:$I$108,MATCH(D275,Fixture!$A$5:$A$108,0)),0)&lt;IFERROR(INDEX(Fixture!$J$5:$J$108,MATCH(D275,Fixture!$A$5:$A$108,0)),0)),AND(I275=J275,IFERROR(INDEX(Fixture!$I$5:$I$108,MATCH(D275,Fixture!$A$5:$A$108,0)),0)=IFERROR(INDEX(Fixture!$J$5:$J$108,MATCH(D275,Fixture!$A$5:$A$108,0)),0))),IFERROR(INDEX(Fases!$D$5:$D$10,MATCH(IFERROR(INDEX(Fixture!$B$5:$B$108,MATCH(D275,Fixture!$A$5:$A$108,0)),0),Fases!$A$5:$A$10,0)),0),0))))</f>
        <v/>
      </c>
      <c r="M275" s="12" t="str">
        <f aca="false">IFERROR(INDEX(Fixture!$K$5:$K$108,MATCH(D275,Fixture!$A$5:$A$108,0)),"")</f>
        <v>PENDIENTE</v>
      </c>
    </row>
    <row r="276" customFormat="false" ht="15" hidden="false" customHeight="false" outlineLevel="0" collapsed="false">
      <c r="A276" s="9" t="n">
        <v>272</v>
      </c>
      <c r="B276" s="9" t="n">
        <v>3</v>
      </c>
      <c r="C276" s="10" t="str">
        <f aca="false">IFERROR(INDEX(Usuarios!$C$5:$C$200,MATCH(B276,Usuarios!$A$5:$A$200,0)),"")</f>
        <v>juanpe</v>
      </c>
      <c r="D276" s="9" t="n">
        <v>66</v>
      </c>
      <c r="E276" s="10" t="str">
        <f aca="false">IFERROR(INDEX(Fases!$B$5:$B$10,MATCH(INDEX(Fixture!$B$5:$B$108,MATCH(D276,Fixture!$A$5:$A$108,0)),Fases!$A$5:$A$10,0)),"")</f>
        <v>Grupos</v>
      </c>
      <c r="F276" s="10" t="str">
        <f aca="false">IFERROR(INDEX(Fixture!$E$5:$E$108,MATCH(D276,Fixture!$A$5:$A$108,0)),"")</f>
        <v>Arabia Saudita</v>
      </c>
      <c r="G276" s="10" t="str">
        <f aca="false">IFERROR(INDEX(Fixture!$F$5:$F$108,MATCH(D276,Fixture!$A$5:$A$108,0)),"")</f>
        <v>Australia</v>
      </c>
      <c r="H276" s="22" t="n">
        <f aca="false">IFERROR(INDEX(Fixture!$G$5:$G$108,MATCH(D276,Fixture!$A$5:$A$108,0)),"")</f>
        <v>46205.75</v>
      </c>
      <c r="I276" s="23"/>
      <c r="J276" s="23"/>
      <c r="K276" s="10" t="str">
        <f aca="false">IFERROR(INDEX(Fixture!$I$5:$I$108,MATCH(D276,Fixture!$A$5:$A$108,0))&amp;"-"&amp;INDEX(Fixture!$J$5:$J$108,MATCH(D276,Fixture!$A$5:$A$108,0)),"")</f>
        <v>-</v>
      </c>
      <c r="L276" s="9" t="str">
        <f aca="false">IF(M276&lt;&gt;"FINALIZADO","",IF(OR(ISBLANK(I276),ISBLANK(J276)),0,IF(AND(I276=IFERROR(INDEX(Fixture!$I$5:$I$108,MATCH(D276,Fixture!$A$5:$A$108,0)),"-999"),J276=IFERROR(INDEX(Fixture!$J$5:$J$108,MATCH(D276,Fixture!$A$5:$A$108,0)),"-999")),IFERROR(INDEX(Fases!$C$5:$C$10,MATCH(IFERROR(INDEX(Fixture!$B$5:$B$108,MATCH(D276,Fixture!$A$5:$A$108,0)),0),Fases!$A$5:$A$10,0)),0),IF(OR(AND(I276&gt;J276,IFERROR(INDEX(Fixture!$I$5:$I$108,MATCH(D276,Fixture!$A$5:$A$108,0)),0)&gt;IFERROR(INDEX(Fixture!$J$5:$J$108,MATCH(D276,Fixture!$A$5:$A$108,0)),0)),AND(I276&lt;J276,IFERROR(INDEX(Fixture!$I$5:$I$108,MATCH(D276,Fixture!$A$5:$A$108,0)),0)&lt;IFERROR(INDEX(Fixture!$J$5:$J$108,MATCH(D276,Fixture!$A$5:$A$108,0)),0)),AND(I276=J276,IFERROR(INDEX(Fixture!$I$5:$I$108,MATCH(D276,Fixture!$A$5:$A$108,0)),0)=IFERROR(INDEX(Fixture!$J$5:$J$108,MATCH(D276,Fixture!$A$5:$A$108,0)),0))),IFERROR(INDEX(Fases!$D$5:$D$10,MATCH(IFERROR(INDEX(Fixture!$B$5:$B$108,MATCH(D276,Fixture!$A$5:$A$108,0)),0),Fases!$A$5:$A$10,0)),0),0))))</f>
        <v/>
      </c>
      <c r="M276" s="10" t="str">
        <f aca="false">IFERROR(INDEX(Fixture!$K$5:$K$108,MATCH(D276,Fixture!$A$5:$A$108,0)),"")</f>
        <v>PENDIENTE</v>
      </c>
    </row>
    <row r="277" customFormat="false" ht="15" hidden="false" customHeight="false" outlineLevel="0" collapsed="false">
      <c r="A277" s="11" t="n">
        <v>273</v>
      </c>
      <c r="B277" s="11" t="n">
        <v>3</v>
      </c>
      <c r="C277" s="12" t="str">
        <f aca="false">IFERROR(INDEX(Usuarios!$C$5:$C$200,MATCH(B277,Usuarios!$A$5:$A$200,0)),"")</f>
        <v>juanpe</v>
      </c>
      <c r="D277" s="11" t="n">
        <v>67</v>
      </c>
      <c r="E277" s="12" t="str">
        <f aca="false">IFERROR(INDEX(Fases!$B$5:$B$10,MATCH(INDEX(Fixture!$B$5:$B$108,MATCH(D277,Fixture!$A$5:$A$108,0)),Fases!$A$5:$A$10,0)),"")</f>
        <v>Grupos</v>
      </c>
      <c r="F277" s="12" t="str">
        <f aca="false">IFERROR(INDEX(Fixture!$E$5:$E$108,MATCH(D277,Fixture!$A$5:$A$108,0)),"")</f>
        <v>Irán</v>
      </c>
      <c r="G277" s="12" t="str">
        <f aca="false">IFERROR(INDEX(Fixture!$F$5:$F$108,MATCH(D277,Fixture!$A$5:$A$108,0)),"")</f>
        <v>Qatar</v>
      </c>
      <c r="H277" s="20" t="n">
        <f aca="false">IFERROR(INDEX(Fixture!$G$5:$G$108,MATCH(D277,Fixture!$A$5:$A$108,0)),"")</f>
        <v>46206.625</v>
      </c>
      <c r="I277" s="21"/>
      <c r="J277" s="21"/>
      <c r="K277" s="12" t="str">
        <f aca="false">IFERROR(INDEX(Fixture!$I$5:$I$108,MATCH(D277,Fixture!$A$5:$A$108,0))&amp;"-"&amp;INDEX(Fixture!$J$5:$J$108,MATCH(D277,Fixture!$A$5:$A$108,0)),"")</f>
        <v>-</v>
      </c>
      <c r="L277" s="11" t="str">
        <f aca="false">IF(M277&lt;&gt;"FINALIZADO","",IF(OR(ISBLANK(I277),ISBLANK(J277)),0,IF(AND(I277=IFERROR(INDEX(Fixture!$I$5:$I$108,MATCH(D277,Fixture!$A$5:$A$108,0)),"-999"),J277=IFERROR(INDEX(Fixture!$J$5:$J$108,MATCH(D277,Fixture!$A$5:$A$108,0)),"-999")),IFERROR(INDEX(Fases!$C$5:$C$10,MATCH(IFERROR(INDEX(Fixture!$B$5:$B$108,MATCH(D277,Fixture!$A$5:$A$108,0)),0),Fases!$A$5:$A$10,0)),0),IF(OR(AND(I277&gt;J277,IFERROR(INDEX(Fixture!$I$5:$I$108,MATCH(D277,Fixture!$A$5:$A$108,0)),0)&gt;IFERROR(INDEX(Fixture!$J$5:$J$108,MATCH(D277,Fixture!$A$5:$A$108,0)),0)),AND(I277&lt;J277,IFERROR(INDEX(Fixture!$I$5:$I$108,MATCH(D277,Fixture!$A$5:$A$108,0)),0)&lt;IFERROR(INDEX(Fixture!$J$5:$J$108,MATCH(D277,Fixture!$A$5:$A$108,0)),0)),AND(I277=J277,IFERROR(INDEX(Fixture!$I$5:$I$108,MATCH(D277,Fixture!$A$5:$A$108,0)),0)=IFERROR(INDEX(Fixture!$J$5:$J$108,MATCH(D277,Fixture!$A$5:$A$108,0)),0))),IFERROR(INDEX(Fases!$D$5:$D$10,MATCH(IFERROR(INDEX(Fixture!$B$5:$B$108,MATCH(D277,Fixture!$A$5:$A$108,0)),0),Fases!$A$5:$A$10,0)),0),0))))</f>
        <v/>
      </c>
      <c r="M277" s="12" t="str">
        <f aca="false">IFERROR(INDEX(Fixture!$K$5:$K$108,MATCH(D277,Fixture!$A$5:$A$108,0)),"")</f>
        <v>PENDIENTE</v>
      </c>
    </row>
    <row r="278" customFormat="false" ht="15" hidden="false" customHeight="false" outlineLevel="0" collapsed="false">
      <c r="A278" s="9" t="n">
        <v>274</v>
      </c>
      <c r="B278" s="9" t="n">
        <v>3</v>
      </c>
      <c r="C278" s="10" t="str">
        <f aca="false">IFERROR(INDEX(Usuarios!$C$5:$C$200,MATCH(B278,Usuarios!$A$5:$A$200,0)),"")</f>
        <v>juanpe</v>
      </c>
      <c r="D278" s="9" t="n">
        <v>68</v>
      </c>
      <c r="E278" s="10" t="str">
        <f aca="false">IFERROR(INDEX(Fases!$B$5:$B$10,MATCH(INDEX(Fixture!$B$5:$B$108,MATCH(D278,Fixture!$A$5:$A$108,0)),Fases!$A$5:$A$10,0)),"")</f>
        <v>Grupos</v>
      </c>
      <c r="F278" s="10" t="str">
        <f aca="false">IFERROR(INDEX(Fixture!$E$5:$E$108,MATCH(D278,Fixture!$A$5:$A$108,0)),"")</f>
        <v>Irán</v>
      </c>
      <c r="G278" s="10" t="str">
        <f aca="false">IFERROR(INDEX(Fixture!$F$5:$F$108,MATCH(D278,Fixture!$A$5:$A$108,0)),"")</f>
        <v>Uzbekistán</v>
      </c>
      <c r="H278" s="22" t="n">
        <f aca="false">IFERROR(INDEX(Fixture!$G$5:$G$108,MATCH(D278,Fixture!$A$5:$A$108,0)),"")</f>
        <v>46206.75</v>
      </c>
      <c r="I278" s="23"/>
      <c r="J278" s="23"/>
      <c r="K278" s="10" t="str">
        <f aca="false">IFERROR(INDEX(Fixture!$I$5:$I$108,MATCH(D278,Fixture!$A$5:$A$108,0))&amp;"-"&amp;INDEX(Fixture!$J$5:$J$108,MATCH(D278,Fixture!$A$5:$A$108,0)),"")</f>
        <v>-</v>
      </c>
      <c r="L278" s="9" t="str">
        <f aca="false">IF(M278&lt;&gt;"FINALIZADO","",IF(OR(ISBLANK(I278),ISBLANK(J278)),0,IF(AND(I278=IFERROR(INDEX(Fixture!$I$5:$I$108,MATCH(D278,Fixture!$A$5:$A$108,0)),"-999"),J278=IFERROR(INDEX(Fixture!$J$5:$J$108,MATCH(D278,Fixture!$A$5:$A$108,0)),"-999")),IFERROR(INDEX(Fases!$C$5:$C$10,MATCH(IFERROR(INDEX(Fixture!$B$5:$B$108,MATCH(D278,Fixture!$A$5:$A$108,0)),0),Fases!$A$5:$A$10,0)),0),IF(OR(AND(I278&gt;J278,IFERROR(INDEX(Fixture!$I$5:$I$108,MATCH(D278,Fixture!$A$5:$A$108,0)),0)&gt;IFERROR(INDEX(Fixture!$J$5:$J$108,MATCH(D278,Fixture!$A$5:$A$108,0)),0)),AND(I278&lt;J278,IFERROR(INDEX(Fixture!$I$5:$I$108,MATCH(D278,Fixture!$A$5:$A$108,0)),0)&lt;IFERROR(INDEX(Fixture!$J$5:$J$108,MATCH(D278,Fixture!$A$5:$A$108,0)),0)),AND(I278=J278,IFERROR(INDEX(Fixture!$I$5:$I$108,MATCH(D278,Fixture!$A$5:$A$108,0)),0)=IFERROR(INDEX(Fixture!$J$5:$J$108,MATCH(D278,Fixture!$A$5:$A$108,0)),0))),IFERROR(INDEX(Fases!$D$5:$D$10,MATCH(IFERROR(INDEX(Fixture!$B$5:$B$108,MATCH(D278,Fixture!$A$5:$A$108,0)),0),Fases!$A$5:$A$10,0)),0),0))))</f>
        <v/>
      </c>
      <c r="M278" s="10" t="str">
        <f aca="false">IFERROR(INDEX(Fixture!$K$5:$K$108,MATCH(D278,Fixture!$A$5:$A$108,0)),"")</f>
        <v>PENDIENTE</v>
      </c>
    </row>
    <row r="279" customFormat="false" ht="15" hidden="false" customHeight="false" outlineLevel="0" collapsed="false">
      <c r="A279" s="11" t="n">
        <v>275</v>
      </c>
      <c r="B279" s="11" t="n">
        <v>3</v>
      </c>
      <c r="C279" s="12" t="str">
        <f aca="false">IFERROR(INDEX(Usuarios!$C$5:$C$200,MATCH(B279,Usuarios!$A$5:$A$200,0)),"")</f>
        <v>juanpe</v>
      </c>
      <c r="D279" s="11" t="n">
        <v>69</v>
      </c>
      <c r="E279" s="12" t="str">
        <f aca="false">IFERROR(INDEX(Fases!$B$5:$B$10,MATCH(INDEX(Fixture!$B$5:$B$108,MATCH(D279,Fixture!$A$5:$A$108,0)),Fases!$A$5:$A$10,0)),"")</f>
        <v>Grupos</v>
      </c>
      <c r="F279" s="12" t="str">
        <f aca="false">IFERROR(INDEX(Fixture!$E$5:$E$108,MATCH(D279,Fixture!$A$5:$A$108,0)),"")</f>
        <v>Irán</v>
      </c>
      <c r="G279" s="12" t="str">
        <f aca="false">IFERROR(INDEX(Fixture!$F$5:$F$108,MATCH(D279,Fixture!$A$5:$A$108,0)),"")</f>
        <v>Nueva Zelanda</v>
      </c>
      <c r="H279" s="20" t="n">
        <f aca="false">IFERROR(INDEX(Fixture!$G$5:$G$108,MATCH(D279,Fixture!$A$5:$A$108,0)),"")</f>
        <v>46206.875</v>
      </c>
      <c r="I279" s="21"/>
      <c r="J279" s="21"/>
      <c r="K279" s="12" t="str">
        <f aca="false">IFERROR(INDEX(Fixture!$I$5:$I$108,MATCH(D279,Fixture!$A$5:$A$108,0))&amp;"-"&amp;INDEX(Fixture!$J$5:$J$108,MATCH(D279,Fixture!$A$5:$A$108,0)),"")</f>
        <v>-</v>
      </c>
      <c r="L279" s="11" t="str">
        <f aca="false">IF(M279&lt;&gt;"FINALIZADO","",IF(OR(ISBLANK(I279),ISBLANK(J279)),0,IF(AND(I279=IFERROR(INDEX(Fixture!$I$5:$I$108,MATCH(D279,Fixture!$A$5:$A$108,0)),"-999"),J279=IFERROR(INDEX(Fixture!$J$5:$J$108,MATCH(D279,Fixture!$A$5:$A$108,0)),"-999")),IFERROR(INDEX(Fases!$C$5:$C$10,MATCH(IFERROR(INDEX(Fixture!$B$5:$B$108,MATCH(D279,Fixture!$A$5:$A$108,0)),0),Fases!$A$5:$A$10,0)),0),IF(OR(AND(I279&gt;J279,IFERROR(INDEX(Fixture!$I$5:$I$108,MATCH(D279,Fixture!$A$5:$A$108,0)),0)&gt;IFERROR(INDEX(Fixture!$J$5:$J$108,MATCH(D279,Fixture!$A$5:$A$108,0)),0)),AND(I279&lt;J279,IFERROR(INDEX(Fixture!$I$5:$I$108,MATCH(D279,Fixture!$A$5:$A$108,0)),0)&lt;IFERROR(INDEX(Fixture!$J$5:$J$108,MATCH(D279,Fixture!$A$5:$A$108,0)),0)),AND(I279=J279,IFERROR(INDEX(Fixture!$I$5:$I$108,MATCH(D279,Fixture!$A$5:$A$108,0)),0)=IFERROR(INDEX(Fixture!$J$5:$J$108,MATCH(D279,Fixture!$A$5:$A$108,0)),0))),IFERROR(INDEX(Fases!$D$5:$D$10,MATCH(IFERROR(INDEX(Fixture!$B$5:$B$108,MATCH(D279,Fixture!$A$5:$A$108,0)),0),Fases!$A$5:$A$10,0)),0),0))))</f>
        <v/>
      </c>
      <c r="M279" s="12" t="str">
        <f aca="false">IFERROR(INDEX(Fixture!$K$5:$K$108,MATCH(D279,Fixture!$A$5:$A$108,0)),"")</f>
        <v>PENDIENTE</v>
      </c>
    </row>
    <row r="280" customFormat="false" ht="15" hidden="false" customHeight="false" outlineLevel="0" collapsed="false">
      <c r="A280" s="9" t="n">
        <v>276</v>
      </c>
      <c r="B280" s="9" t="n">
        <v>3</v>
      </c>
      <c r="C280" s="10" t="str">
        <f aca="false">IFERROR(INDEX(Usuarios!$C$5:$C$200,MATCH(B280,Usuarios!$A$5:$A$200,0)),"")</f>
        <v>juanpe</v>
      </c>
      <c r="D280" s="9" t="n">
        <v>70</v>
      </c>
      <c r="E280" s="10" t="str">
        <f aca="false">IFERROR(INDEX(Fases!$B$5:$B$10,MATCH(INDEX(Fixture!$B$5:$B$108,MATCH(D280,Fixture!$A$5:$A$108,0)),Fases!$A$5:$A$10,0)),"")</f>
        <v>Grupos</v>
      </c>
      <c r="F280" s="10" t="str">
        <f aca="false">IFERROR(INDEX(Fixture!$E$5:$E$108,MATCH(D280,Fixture!$A$5:$A$108,0)),"")</f>
        <v>Qatar</v>
      </c>
      <c r="G280" s="10" t="str">
        <f aca="false">IFERROR(INDEX(Fixture!$F$5:$F$108,MATCH(D280,Fixture!$A$5:$A$108,0)),"")</f>
        <v>Uzbekistán</v>
      </c>
      <c r="H280" s="22" t="n">
        <f aca="false">IFERROR(INDEX(Fixture!$G$5:$G$108,MATCH(D280,Fixture!$A$5:$A$108,0)),"")</f>
        <v>46207</v>
      </c>
      <c r="I280" s="23"/>
      <c r="J280" s="23"/>
      <c r="K280" s="10" t="str">
        <f aca="false">IFERROR(INDEX(Fixture!$I$5:$I$108,MATCH(D280,Fixture!$A$5:$A$108,0))&amp;"-"&amp;INDEX(Fixture!$J$5:$J$108,MATCH(D280,Fixture!$A$5:$A$108,0)),"")</f>
        <v>-</v>
      </c>
      <c r="L280" s="9" t="str">
        <f aca="false">IF(M280&lt;&gt;"FINALIZADO","",IF(OR(ISBLANK(I280),ISBLANK(J280)),0,IF(AND(I280=IFERROR(INDEX(Fixture!$I$5:$I$108,MATCH(D280,Fixture!$A$5:$A$108,0)),"-999"),J280=IFERROR(INDEX(Fixture!$J$5:$J$108,MATCH(D280,Fixture!$A$5:$A$108,0)),"-999")),IFERROR(INDEX(Fases!$C$5:$C$10,MATCH(IFERROR(INDEX(Fixture!$B$5:$B$108,MATCH(D280,Fixture!$A$5:$A$108,0)),0),Fases!$A$5:$A$10,0)),0),IF(OR(AND(I280&gt;J280,IFERROR(INDEX(Fixture!$I$5:$I$108,MATCH(D280,Fixture!$A$5:$A$108,0)),0)&gt;IFERROR(INDEX(Fixture!$J$5:$J$108,MATCH(D280,Fixture!$A$5:$A$108,0)),0)),AND(I280&lt;J280,IFERROR(INDEX(Fixture!$I$5:$I$108,MATCH(D280,Fixture!$A$5:$A$108,0)),0)&lt;IFERROR(INDEX(Fixture!$J$5:$J$108,MATCH(D280,Fixture!$A$5:$A$108,0)),0)),AND(I280=J280,IFERROR(INDEX(Fixture!$I$5:$I$108,MATCH(D280,Fixture!$A$5:$A$108,0)),0)=IFERROR(INDEX(Fixture!$J$5:$J$108,MATCH(D280,Fixture!$A$5:$A$108,0)),0))),IFERROR(INDEX(Fases!$D$5:$D$10,MATCH(IFERROR(INDEX(Fixture!$B$5:$B$108,MATCH(D280,Fixture!$A$5:$A$108,0)),0),Fases!$A$5:$A$10,0)),0),0))))</f>
        <v/>
      </c>
      <c r="M280" s="10" t="str">
        <f aca="false">IFERROR(INDEX(Fixture!$K$5:$K$108,MATCH(D280,Fixture!$A$5:$A$108,0)),"")</f>
        <v>PENDIENTE</v>
      </c>
    </row>
    <row r="281" customFormat="false" ht="15" hidden="false" customHeight="false" outlineLevel="0" collapsed="false">
      <c r="A281" s="11" t="n">
        <v>277</v>
      </c>
      <c r="B281" s="11" t="n">
        <v>3</v>
      </c>
      <c r="C281" s="12" t="str">
        <f aca="false">IFERROR(INDEX(Usuarios!$C$5:$C$200,MATCH(B281,Usuarios!$A$5:$A$200,0)),"")</f>
        <v>juanpe</v>
      </c>
      <c r="D281" s="11" t="n">
        <v>71</v>
      </c>
      <c r="E281" s="12" t="str">
        <f aca="false">IFERROR(INDEX(Fases!$B$5:$B$10,MATCH(INDEX(Fixture!$B$5:$B$108,MATCH(D281,Fixture!$A$5:$A$108,0)),Fases!$A$5:$A$10,0)),"")</f>
        <v>Grupos</v>
      </c>
      <c r="F281" s="12" t="str">
        <f aca="false">IFERROR(INDEX(Fixture!$E$5:$E$108,MATCH(D281,Fixture!$A$5:$A$108,0)),"")</f>
        <v>Qatar</v>
      </c>
      <c r="G281" s="12" t="str">
        <f aca="false">IFERROR(INDEX(Fixture!$F$5:$F$108,MATCH(D281,Fixture!$A$5:$A$108,0)),"")</f>
        <v>Nueva Zelanda</v>
      </c>
      <c r="H281" s="20" t="n">
        <f aca="false">IFERROR(INDEX(Fixture!$G$5:$G$108,MATCH(D281,Fixture!$A$5:$A$108,0)),"")</f>
        <v>46207.625</v>
      </c>
      <c r="I281" s="21"/>
      <c r="J281" s="21"/>
      <c r="K281" s="12" t="str">
        <f aca="false">IFERROR(INDEX(Fixture!$I$5:$I$108,MATCH(D281,Fixture!$A$5:$A$108,0))&amp;"-"&amp;INDEX(Fixture!$J$5:$J$108,MATCH(D281,Fixture!$A$5:$A$108,0)),"")</f>
        <v>-</v>
      </c>
      <c r="L281" s="11" t="str">
        <f aca="false">IF(M281&lt;&gt;"FINALIZADO","",IF(OR(ISBLANK(I281),ISBLANK(J281)),0,IF(AND(I281=IFERROR(INDEX(Fixture!$I$5:$I$108,MATCH(D281,Fixture!$A$5:$A$108,0)),"-999"),J281=IFERROR(INDEX(Fixture!$J$5:$J$108,MATCH(D281,Fixture!$A$5:$A$108,0)),"-999")),IFERROR(INDEX(Fases!$C$5:$C$10,MATCH(IFERROR(INDEX(Fixture!$B$5:$B$108,MATCH(D281,Fixture!$A$5:$A$108,0)),0),Fases!$A$5:$A$10,0)),0),IF(OR(AND(I281&gt;J281,IFERROR(INDEX(Fixture!$I$5:$I$108,MATCH(D281,Fixture!$A$5:$A$108,0)),0)&gt;IFERROR(INDEX(Fixture!$J$5:$J$108,MATCH(D281,Fixture!$A$5:$A$108,0)),0)),AND(I281&lt;J281,IFERROR(INDEX(Fixture!$I$5:$I$108,MATCH(D281,Fixture!$A$5:$A$108,0)),0)&lt;IFERROR(INDEX(Fixture!$J$5:$J$108,MATCH(D281,Fixture!$A$5:$A$108,0)),0)),AND(I281=J281,IFERROR(INDEX(Fixture!$I$5:$I$108,MATCH(D281,Fixture!$A$5:$A$108,0)),0)=IFERROR(INDEX(Fixture!$J$5:$J$108,MATCH(D281,Fixture!$A$5:$A$108,0)),0))),IFERROR(INDEX(Fases!$D$5:$D$10,MATCH(IFERROR(INDEX(Fixture!$B$5:$B$108,MATCH(D281,Fixture!$A$5:$A$108,0)),0),Fases!$A$5:$A$10,0)),0),0))))</f>
        <v/>
      </c>
      <c r="M281" s="12" t="str">
        <f aca="false">IFERROR(INDEX(Fixture!$K$5:$K$108,MATCH(D281,Fixture!$A$5:$A$108,0)),"")</f>
        <v>PENDIENTE</v>
      </c>
    </row>
    <row r="282" customFormat="false" ht="15" hidden="false" customHeight="false" outlineLevel="0" collapsed="false">
      <c r="A282" s="9" t="n">
        <v>278</v>
      </c>
      <c r="B282" s="9" t="n">
        <v>3</v>
      </c>
      <c r="C282" s="10" t="str">
        <f aca="false">IFERROR(INDEX(Usuarios!$C$5:$C$200,MATCH(B282,Usuarios!$A$5:$A$200,0)),"")</f>
        <v>juanpe</v>
      </c>
      <c r="D282" s="9" t="n">
        <v>72</v>
      </c>
      <c r="E282" s="10" t="str">
        <f aca="false">IFERROR(INDEX(Fases!$B$5:$B$10,MATCH(INDEX(Fixture!$B$5:$B$108,MATCH(D282,Fixture!$A$5:$A$108,0)),Fases!$A$5:$A$10,0)),"")</f>
        <v>Grupos</v>
      </c>
      <c r="F282" s="10" t="str">
        <f aca="false">IFERROR(INDEX(Fixture!$E$5:$E$108,MATCH(D282,Fixture!$A$5:$A$108,0)),"")</f>
        <v>Uzbekistán</v>
      </c>
      <c r="G282" s="10" t="str">
        <f aca="false">IFERROR(INDEX(Fixture!$F$5:$F$108,MATCH(D282,Fixture!$A$5:$A$108,0)),"")</f>
        <v>Nueva Zelanda</v>
      </c>
      <c r="H282" s="22" t="n">
        <f aca="false">IFERROR(INDEX(Fixture!$G$5:$G$108,MATCH(D282,Fixture!$A$5:$A$108,0)),"")</f>
        <v>46207.75</v>
      </c>
      <c r="I282" s="23"/>
      <c r="J282" s="23"/>
      <c r="K282" s="10" t="str">
        <f aca="false">IFERROR(INDEX(Fixture!$I$5:$I$108,MATCH(D282,Fixture!$A$5:$A$108,0))&amp;"-"&amp;INDEX(Fixture!$J$5:$J$108,MATCH(D282,Fixture!$A$5:$A$108,0)),"")</f>
        <v>-</v>
      </c>
      <c r="L282" s="9" t="str">
        <f aca="false">IF(M282&lt;&gt;"FINALIZADO","",IF(OR(ISBLANK(I282),ISBLANK(J282)),0,IF(AND(I282=IFERROR(INDEX(Fixture!$I$5:$I$108,MATCH(D282,Fixture!$A$5:$A$108,0)),"-999"),J282=IFERROR(INDEX(Fixture!$J$5:$J$108,MATCH(D282,Fixture!$A$5:$A$108,0)),"-999")),IFERROR(INDEX(Fases!$C$5:$C$10,MATCH(IFERROR(INDEX(Fixture!$B$5:$B$108,MATCH(D282,Fixture!$A$5:$A$108,0)),0),Fases!$A$5:$A$10,0)),0),IF(OR(AND(I282&gt;J282,IFERROR(INDEX(Fixture!$I$5:$I$108,MATCH(D282,Fixture!$A$5:$A$108,0)),0)&gt;IFERROR(INDEX(Fixture!$J$5:$J$108,MATCH(D282,Fixture!$A$5:$A$108,0)),0)),AND(I282&lt;J282,IFERROR(INDEX(Fixture!$I$5:$I$108,MATCH(D282,Fixture!$A$5:$A$108,0)),0)&lt;IFERROR(INDEX(Fixture!$J$5:$J$108,MATCH(D282,Fixture!$A$5:$A$108,0)),0)),AND(I282=J282,IFERROR(INDEX(Fixture!$I$5:$I$108,MATCH(D282,Fixture!$A$5:$A$108,0)),0)=IFERROR(INDEX(Fixture!$J$5:$J$108,MATCH(D282,Fixture!$A$5:$A$108,0)),0))),IFERROR(INDEX(Fases!$D$5:$D$10,MATCH(IFERROR(INDEX(Fixture!$B$5:$B$108,MATCH(D282,Fixture!$A$5:$A$108,0)),0),Fases!$A$5:$A$10,0)),0),0))))</f>
        <v/>
      </c>
      <c r="M282" s="10" t="str">
        <f aca="false">IFERROR(INDEX(Fixture!$K$5:$K$108,MATCH(D282,Fixture!$A$5:$A$108,0)),"")</f>
        <v>PENDIENTE</v>
      </c>
    </row>
    <row r="283" customFormat="false" ht="15" hidden="false" customHeight="false" outlineLevel="0" collapsed="false">
      <c r="A283" s="11" t="n">
        <v>279</v>
      </c>
      <c r="B283" s="11" t="n">
        <v>3</v>
      </c>
      <c r="C283" s="12" t="str">
        <f aca="false">IFERROR(INDEX(Usuarios!$C$5:$C$200,MATCH(B283,Usuarios!$A$5:$A$200,0)),"")</f>
        <v>juanpe</v>
      </c>
      <c r="D283" s="11" t="n">
        <v>73</v>
      </c>
      <c r="E283" s="12" t="str">
        <f aca="false">IFERROR(INDEX(Fases!$B$5:$B$10,MATCH(INDEX(Fixture!$B$5:$B$108,MATCH(D283,Fixture!$A$5:$A$108,0)),Fases!$A$5:$A$10,0)),"")</f>
        <v>Ronda de 32</v>
      </c>
      <c r="F283" s="12" t="str">
        <f aca="false">IFERROR(INDEX(Fixture!$E$5:$E$108,MATCH(D283,Fixture!$A$5:$A$108,0)),"")</f>
        <v>A definir</v>
      </c>
      <c r="G283" s="12" t="str">
        <f aca="false">IFERROR(INDEX(Fixture!$F$5:$F$108,MATCH(D283,Fixture!$A$5:$A$108,0)),"")</f>
        <v>A definir</v>
      </c>
      <c r="H283" s="20" t="n">
        <f aca="false">IFERROR(INDEX(Fixture!$G$5:$G$108,MATCH(D283,Fixture!$A$5:$A$108,0)),"")</f>
        <v>46200.75</v>
      </c>
      <c r="I283" s="21"/>
      <c r="J283" s="21"/>
      <c r="K283" s="12" t="str">
        <f aca="false">IFERROR(INDEX(Fixture!$I$5:$I$108,MATCH(D283,Fixture!$A$5:$A$108,0))&amp;"-"&amp;INDEX(Fixture!$J$5:$J$108,MATCH(D283,Fixture!$A$5:$A$108,0)),"")</f>
        <v>-</v>
      </c>
      <c r="L283" s="11" t="str">
        <f aca="false">IF(M283&lt;&gt;"FINALIZADO","",IF(OR(ISBLANK(I283),ISBLANK(J283)),0,IF(AND(I283=IFERROR(INDEX(Fixture!$I$5:$I$108,MATCH(D283,Fixture!$A$5:$A$108,0)),"-999"),J283=IFERROR(INDEX(Fixture!$J$5:$J$108,MATCH(D283,Fixture!$A$5:$A$108,0)),"-999")),IFERROR(INDEX(Fases!$C$5:$C$10,MATCH(IFERROR(INDEX(Fixture!$B$5:$B$108,MATCH(D283,Fixture!$A$5:$A$108,0)),0),Fases!$A$5:$A$10,0)),0),IF(OR(AND(I283&gt;J283,IFERROR(INDEX(Fixture!$I$5:$I$108,MATCH(D283,Fixture!$A$5:$A$108,0)),0)&gt;IFERROR(INDEX(Fixture!$J$5:$J$108,MATCH(D283,Fixture!$A$5:$A$108,0)),0)),AND(I283&lt;J283,IFERROR(INDEX(Fixture!$I$5:$I$108,MATCH(D283,Fixture!$A$5:$A$108,0)),0)&lt;IFERROR(INDEX(Fixture!$J$5:$J$108,MATCH(D283,Fixture!$A$5:$A$108,0)),0)),AND(I283=J283,IFERROR(INDEX(Fixture!$I$5:$I$108,MATCH(D283,Fixture!$A$5:$A$108,0)),0)=IFERROR(INDEX(Fixture!$J$5:$J$108,MATCH(D283,Fixture!$A$5:$A$108,0)),0))),IFERROR(INDEX(Fases!$D$5:$D$10,MATCH(IFERROR(INDEX(Fixture!$B$5:$B$108,MATCH(D283,Fixture!$A$5:$A$108,0)),0),Fases!$A$5:$A$10,0)),0),0))))</f>
        <v/>
      </c>
      <c r="M283" s="12" t="str">
        <f aca="false">IFERROR(INDEX(Fixture!$K$5:$K$108,MATCH(D283,Fixture!$A$5:$A$108,0)),"")</f>
        <v>PENDIENTE</v>
      </c>
    </row>
    <row r="284" customFormat="false" ht="15" hidden="false" customHeight="false" outlineLevel="0" collapsed="false">
      <c r="A284" s="9" t="n">
        <v>280</v>
      </c>
      <c r="B284" s="9" t="n">
        <v>3</v>
      </c>
      <c r="C284" s="10" t="str">
        <f aca="false">IFERROR(INDEX(Usuarios!$C$5:$C$200,MATCH(B284,Usuarios!$A$5:$A$200,0)),"")</f>
        <v>juanpe</v>
      </c>
      <c r="D284" s="9" t="n">
        <v>74</v>
      </c>
      <c r="E284" s="10" t="str">
        <f aca="false">IFERROR(INDEX(Fases!$B$5:$B$10,MATCH(INDEX(Fixture!$B$5:$B$108,MATCH(D284,Fixture!$A$5:$A$108,0)),Fases!$A$5:$A$10,0)),"")</f>
        <v>Ronda de 32</v>
      </c>
      <c r="F284" s="10" t="str">
        <f aca="false">IFERROR(INDEX(Fixture!$E$5:$E$108,MATCH(D284,Fixture!$A$5:$A$108,0)),"")</f>
        <v>A definir</v>
      </c>
      <c r="G284" s="10" t="str">
        <f aca="false">IFERROR(INDEX(Fixture!$F$5:$F$108,MATCH(D284,Fixture!$A$5:$A$108,0)),"")</f>
        <v>A definir</v>
      </c>
      <c r="H284" s="22" t="n">
        <f aca="false">IFERROR(INDEX(Fixture!$G$5:$G$108,MATCH(D284,Fixture!$A$5:$A$108,0)),"")</f>
        <v>46200.75</v>
      </c>
      <c r="I284" s="23"/>
      <c r="J284" s="23"/>
      <c r="K284" s="10" t="str">
        <f aca="false">IFERROR(INDEX(Fixture!$I$5:$I$108,MATCH(D284,Fixture!$A$5:$A$108,0))&amp;"-"&amp;INDEX(Fixture!$J$5:$J$108,MATCH(D284,Fixture!$A$5:$A$108,0)),"")</f>
        <v>-</v>
      </c>
      <c r="L284" s="9" t="str">
        <f aca="false">IF(M284&lt;&gt;"FINALIZADO","",IF(OR(ISBLANK(I284),ISBLANK(J284)),0,IF(AND(I284=IFERROR(INDEX(Fixture!$I$5:$I$108,MATCH(D284,Fixture!$A$5:$A$108,0)),"-999"),J284=IFERROR(INDEX(Fixture!$J$5:$J$108,MATCH(D284,Fixture!$A$5:$A$108,0)),"-999")),IFERROR(INDEX(Fases!$C$5:$C$10,MATCH(IFERROR(INDEX(Fixture!$B$5:$B$108,MATCH(D284,Fixture!$A$5:$A$108,0)),0),Fases!$A$5:$A$10,0)),0),IF(OR(AND(I284&gt;J284,IFERROR(INDEX(Fixture!$I$5:$I$108,MATCH(D284,Fixture!$A$5:$A$108,0)),0)&gt;IFERROR(INDEX(Fixture!$J$5:$J$108,MATCH(D284,Fixture!$A$5:$A$108,0)),0)),AND(I284&lt;J284,IFERROR(INDEX(Fixture!$I$5:$I$108,MATCH(D284,Fixture!$A$5:$A$108,0)),0)&lt;IFERROR(INDEX(Fixture!$J$5:$J$108,MATCH(D284,Fixture!$A$5:$A$108,0)),0)),AND(I284=J284,IFERROR(INDEX(Fixture!$I$5:$I$108,MATCH(D284,Fixture!$A$5:$A$108,0)),0)=IFERROR(INDEX(Fixture!$J$5:$J$108,MATCH(D284,Fixture!$A$5:$A$108,0)),0))),IFERROR(INDEX(Fases!$D$5:$D$10,MATCH(IFERROR(INDEX(Fixture!$B$5:$B$108,MATCH(D284,Fixture!$A$5:$A$108,0)),0),Fases!$A$5:$A$10,0)),0),0))))</f>
        <v/>
      </c>
      <c r="M284" s="10" t="str">
        <f aca="false">IFERROR(INDEX(Fixture!$K$5:$K$108,MATCH(D284,Fixture!$A$5:$A$108,0)),"")</f>
        <v>PENDIENTE</v>
      </c>
    </row>
    <row r="285" customFormat="false" ht="15" hidden="false" customHeight="false" outlineLevel="0" collapsed="false">
      <c r="A285" s="11" t="n">
        <v>281</v>
      </c>
      <c r="B285" s="11" t="n">
        <v>3</v>
      </c>
      <c r="C285" s="12" t="str">
        <f aca="false">IFERROR(INDEX(Usuarios!$C$5:$C$200,MATCH(B285,Usuarios!$A$5:$A$200,0)),"")</f>
        <v>juanpe</v>
      </c>
      <c r="D285" s="11" t="n">
        <v>75</v>
      </c>
      <c r="E285" s="12" t="str">
        <f aca="false">IFERROR(INDEX(Fases!$B$5:$B$10,MATCH(INDEX(Fixture!$B$5:$B$108,MATCH(D285,Fixture!$A$5:$A$108,0)),Fases!$A$5:$A$10,0)),"")</f>
        <v>Ronda de 32</v>
      </c>
      <c r="F285" s="12" t="str">
        <f aca="false">IFERROR(INDEX(Fixture!$E$5:$E$108,MATCH(D285,Fixture!$A$5:$A$108,0)),"")</f>
        <v>A definir</v>
      </c>
      <c r="G285" s="12" t="str">
        <f aca="false">IFERROR(INDEX(Fixture!$F$5:$F$108,MATCH(D285,Fixture!$A$5:$A$108,0)),"")</f>
        <v>A definir</v>
      </c>
      <c r="H285" s="20" t="n">
        <f aca="false">IFERROR(INDEX(Fixture!$G$5:$G$108,MATCH(D285,Fixture!$A$5:$A$108,0)),"")</f>
        <v>46200.75</v>
      </c>
      <c r="I285" s="21"/>
      <c r="J285" s="21"/>
      <c r="K285" s="12" t="str">
        <f aca="false">IFERROR(INDEX(Fixture!$I$5:$I$108,MATCH(D285,Fixture!$A$5:$A$108,0))&amp;"-"&amp;INDEX(Fixture!$J$5:$J$108,MATCH(D285,Fixture!$A$5:$A$108,0)),"")</f>
        <v>-</v>
      </c>
      <c r="L285" s="11" t="str">
        <f aca="false">IF(M285&lt;&gt;"FINALIZADO","",IF(OR(ISBLANK(I285),ISBLANK(J285)),0,IF(AND(I285=IFERROR(INDEX(Fixture!$I$5:$I$108,MATCH(D285,Fixture!$A$5:$A$108,0)),"-999"),J285=IFERROR(INDEX(Fixture!$J$5:$J$108,MATCH(D285,Fixture!$A$5:$A$108,0)),"-999")),IFERROR(INDEX(Fases!$C$5:$C$10,MATCH(IFERROR(INDEX(Fixture!$B$5:$B$108,MATCH(D285,Fixture!$A$5:$A$108,0)),0),Fases!$A$5:$A$10,0)),0),IF(OR(AND(I285&gt;J285,IFERROR(INDEX(Fixture!$I$5:$I$108,MATCH(D285,Fixture!$A$5:$A$108,0)),0)&gt;IFERROR(INDEX(Fixture!$J$5:$J$108,MATCH(D285,Fixture!$A$5:$A$108,0)),0)),AND(I285&lt;J285,IFERROR(INDEX(Fixture!$I$5:$I$108,MATCH(D285,Fixture!$A$5:$A$108,0)),0)&lt;IFERROR(INDEX(Fixture!$J$5:$J$108,MATCH(D285,Fixture!$A$5:$A$108,0)),0)),AND(I285=J285,IFERROR(INDEX(Fixture!$I$5:$I$108,MATCH(D285,Fixture!$A$5:$A$108,0)),0)=IFERROR(INDEX(Fixture!$J$5:$J$108,MATCH(D285,Fixture!$A$5:$A$108,0)),0))),IFERROR(INDEX(Fases!$D$5:$D$10,MATCH(IFERROR(INDEX(Fixture!$B$5:$B$108,MATCH(D285,Fixture!$A$5:$A$108,0)),0),Fases!$A$5:$A$10,0)),0),0))))</f>
        <v/>
      </c>
      <c r="M285" s="12" t="str">
        <f aca="false">IFERROR(INDEX(Fixture!$K$5:$K$108,MATCH(D285,Fixture!$A$5:$A$108,0)),"")</f>
        <v>PENDIENTE</v>
      </c>
    </row>
    <row r="286" customFormat="false" ht="15" hidden="false" customHeight="false" outlineLevel="0" collapsed="false">
      <c r="A286" s="9" t="n">
        <v>282</v>
      </c>
      <c r="B286" s="9" t="n">
        <v>3</v>
      </c>
      <c r="C286" s="10" t="str">
        <f aca="false">IFERROR(INDEX(Usuarios!$C$5:$C$200,MATCH(B286,Usuarios!$A$5:$A$200,0)),"")</f>
        <v>juanpe</v>
      </c>
      <c r="D286" s="9" t="n">
        <v>76</v>
      </c>
      <c r="E286" s="10" t="str">
        <f aca="false">IFERROR(INDEX(Fases!$B$5:$B$10,MATCH(INDEX(Fixture!$B$5:$B$108,MATCH(D286,Fixture!$A$5:$A$108,0)),Fases!$A$5:$A$10,0)),"")</f>
        <v>Ronda de 32</v>
      </c>
      <c r="F286" s="10" t="str">
        <f aca="false">IFERROR(INDEX(Fixture!$E$5:$E$108,MATCH(D286,Fixture!$A$5:$A$108,0)),"")</f>
        <v>A definir</v>
      </c>
      <c r="G286" s="10" t="str">
        <f aca="false">IFERROR(INDEX(Fixture!$F$5:$F$108,MATCH(D286,Fixture!$A$5:$A$108,0)),"")</f>
        <v>A definir</v>
      </c>
      <c r="H286" s="22" t="n">
        <f aca="false">IFERROR(INDEX(Fixture!$G$5:$G$108,MATCH(D286,Fixture!$A$5:$A$108,0)),"")</f>
        <v>46200.75</v>
      </c>
      <c r="I286" s="23"/>
      <c r="J286" s="23"/>
      <c r="K286" s="10" t="str">
        <f aca="false">IFERROR(INDEX(Fixture!$I$5:$I$108,MATCH(D286,Fixture!$A$5:$A$108,0))&amp;"-"&amp;INDEX(Fixture!$J$5:$J$108,MATCH(D286,Fixture!$A$5:$A$108,0)),"")</f>
        <v>-</v>
      </c>
      <c r="L286" s="9" t="str">
        <f aca="false">IF(M286&lt;&gt;"FINALIZADO","",IF(OR(ISBLANK(I286),ISBLANK(J286)),0,IF(AND(I286=IFERROR(INDEX(Fixture!$I$5:$I$108,MATCH(D286,Fixture!$A$5:$A$108,0)),"-999"),J286=IFERROR(INDEX(Fixture!$J$5:$J$108,MATCH(D286,Fixture!$A$5:$A$108,0)),"-999")),IFERROR(INDEX(Fases!$C$5:$C$10,MATCH(IFERROR(INDEX(Fixture!$B$5:$B$108,MATCH(D286,Fixture!$A$5:$A$108,0)),0),Fases!$A$5:$A$10,0)),0),IF(OR(AND(I286&gt;J286,IFERROR(INDEX(Fixture!$I$5:$I$108,MATCH(D286,Fixture!$A$5:$A$108,0)),0)&gt;IFERROR(INDEX(Fixture!$J$5:$J$108,MATCH(D286,Fixture!$A$5:$A$108,0)),0)),AND(I286&lt;J286,IFERROR(INDEX(Fixture!$I$5:$I$108,MATCH(D286,Fixture!$A$5:$A$108,0)),0)&lt;IFERROR(INDEX(Fixture!$J$5:$J$108,MATCH(D286,Fixture!$A$5:$A$108,0)),0)),AND(I286=J286,IFERROR(INDEX(Fixture!$I$5:$I$108,MATCH(D286,Fixture!$A$5:$A$108,0)),0)=IFERROR(INDEX(Fixture!$J$5:$J$108,MATCH(D286,Fixture!$A$5:$A$108,0)),0))),IFERROR(INDEX(Fases!$D$5:$D$10,MATCH(IFERROR(INDEX(Fixture!$B$5:$B$108,MATCH(D286,Fixture!$A$5:$A$108,0)),0),Fases!$A$5:$A$10,0)),0),0))))</f>
        <v/>
      </c>
      <c r="M286" s="10" t="str">
        <f aca="false">IFERROR(INDEX(Fixture!$K$5:$K$108,MATCH(D286,Fixture!$A$5:$A$108,0)),"")</f>
        <v>PENDIENTE</v>
      </c>
    </row>
    <row r="287" customFormat="false" ht="15" hidden="false" customHeight="false" outlineLevel="0" collapsed="false">
      <c r="A287" s="11" t="n">
        <v>283</v>
      </c>
      <c r="B287" s="11" t="n">
        <v>3</v>
      </c>
      <c r="C287" s="12" t="str">
        <f aca="false">IFERROR(INDEX(Usuarios!$C$5:$C$200,MATCH(B287,Usuarios!$A$5:$A$200,0)),"")</f>
        <v>juanpe</v>
      </c>
      <c r="D287" s="11" t="n">
        <v>77</v>
      </c>
      <c r="E287" s="12" t="str">
        <f aca="false">IFERROR(INDEX(Fases!$B$5:$B$10,MATCH(INDEX(Fixture!$B$5:$B$108,MATCH(D287,Fixture!$A$5:$A$108,0)),Fases!$A$5:$A$10,0)),"")</f>
        <v>Ronda de 32</v>
      </c>
      <c r="F287" s="12" t="str">
        <f aca="false">IFERROR(INDEX(Fixture!$E$5:$E$108,MATCH(D287,Fixture!$A$5:$A$108,0)),"")</f>
        <v>A definir</v>
      </c>
      <c r="G287" s="12" t="str">
        <f aca="false">IFERROR(INDEX(Fixture!$F$5:$F$108,MATCH(D287,Fixture!$A$5:$A$108,0)),"")</f>
        <v>A definir</v>
      </c>
      <c r="H287" s="20" t="n">
        <f aca="false">IFERROR(INDEX(Fixture!$G$5:$G$108,MATCH(D287,Fixture!$A$5:$A$108,0)),"")</f>
        <v>46201.75</v>
      </c>
      <c r="I287" s="21"/>
      <c r="J287" s="21"/>
      <c r="K287" s="12" t="str">
        <f aca="false">IFERROR(INDEX(Fixture!$I$5:$I$108,MATCH(D287,Fixture!$A$5:$A$108,0))&amp;"-"&amp;INDEX(Fixture!$J$5:$J$108,MATCH(D287,Fixture!$A$5:$A$108,0)),"")</f>
        <v>-</v>
      </c>
      <c r="L287" s="11" t="str">
        <f aca="false">IF(M287&lt;&gt;"FINALIZADO","",IF(OR(ISBLANK(I287),ISBLANK(J287)),0,IF(AND(I287=IFERROR(INDEX(Fixture!$I$5:$I$108,MATCH(D287,Fixture!$A$5:$A$108,0)),"-999"),J287=IFERROR(INDEX(Fixture!$J$5:$J$108,MATCH(D287,Fixture!$A$5:$A$108,0)),"-999")),IFERROR(INDEX(Fases!$C$5:$C$10,MATCH(IFERROR(INDEX(Fixture!$B$5:$B$108,MATCH(D287,Fixture!$A$5:$A$108,0)),0),Fases!$A$5:$A$10,0)),0),IF(OR(AND(I287&gt;J287,IFERROR(INDEX(Fixture!$I$5:$I$108,MATCH(D287,Fixture!$A$5:$A$108,0)),0)&gt;IFERROR(INDEX(Fixture!$J$5:$J$108,MATCH(D287,Fixture!$A$5:$A$108,0)),0)),AND(I287&lt;J287,IFERROR(INDEX(Fixture!$I$5:$I$108,MATCH(D287,Fixture!$A$5:$A$108,0)),0)&lt;IFERROR(INDEX(Fixture!$J$5:$J$108,MATCH(D287,Fixture!$A$5:$A$108,0)),0)),AND(I287=J287,IFERROR(INDEX(Fixture!$I$5:$I$108,MATCH(D287,Fixture!$A$5:$A$108,0)),0)=IFERROR(INDEX(Fixture!$J$5:$J$108,MATCH(D287,Fixture!$A$5:$A$108,0)),0))),IFERROR(INDEX(Fases!$D$5:$D$10,MATCH(IFERROR(INDEX(Fixture!$B$5:$B$108,MATCH(D287,Fixture!$A$5:$A$108,0)),0),Fases!$A$5:$A$10,0)),0),0))))</f>
        <v/>
      </c>
      <c r="M287" s="12" t="str">
        <f aca="false">IFERROR(INDEX(Fixture!$K$5:$K$108,MATCH(D287,Fixture!$A$5:$A$108,0)),"")</f>
        <v>PENDIENTE</v>
      </c>
    </row>
    <row r="288" customFormat="false" ht="15" hidden="false" customHeight="false" outlineLevel="0" collapsed="false">
      <c r="A288" s="9" t="n">
        <v>284</v>
      </c>
      <c r="B288" s="9" t="n">
        <v>3</v>
      </c>
      <c r="C288" s="10" t="str">
        <f aca="false">IFERROR(INDEX(Usuarios!$C$5:$C$200,MATCH(B288,Usuarios!$A$5:$A$200,0)),"")</f>
        <v>juanpe</v>
      </c>
      <c r="D288" s="9" t="n">
        <v>78</v>
      </c>
      <c r="E288" s="10" t="str">
        <f aca="false">IFERROR(INDEX(Fases!$B$5:$B$10,MATCH(INDEX(Fixture!$B$5:$B$108,MATCH(D288,Fixture!$A$5:$A$108,0)),Fases!$A$5:$A$10,0)),"")</f>
        <v>Ronda de 32</v>
      </c>
      <c r="F288" s="10" t="str">
        <f aca="false">IFERROR(INDEX(Fixture!$E$5:$E$108,MATCH(D288,Fixture!$A$5:$A$108,0)),"")</f>
        <v>A definir</v>
      </c>
      <c r="G288" s="10" t="str">
        <f aca="false">IFERROR(INDEX(Fixture!$F$5:$F$108,MATCH(D288,Fixture!$A$5:$A$108,0)),"")</f>
        <v>A definir</v>
      </c>
      <c r="H288" s="22" t="n">
        <f aca="false">IFERROR(INDEX(Fixture!$G$5:$G$108,MATCH(D288,Fixture!$A$5:$A$108,0)),"")</f>
        <v>46201.75</v>
      </c>
      <c r="I288" s="23"/>
      <c r="J288" s="23"/>
      <c r="K288" s="10" t="str">
        <f aca="false">IFERROR(INDEX(Fixture!$I$5:$I$108,MATCH(D288,Fixture!$A$5:$A$108,0))&amp;"-"&amp;INDEX(Fixture!$J$5:$J$108,MATCH(D288,Fixture!$A$5:$A$108,0)),"")</f>
        <v>-</v>
      </c>
      <c r="L288" s="9" t="str">
        <f aca="false">IF(M288&lt;&gt;"FINALIZADO","",IF(OR(ISBLANK(I288),ISBLANK(J288)),0,IF(AND(I288=IFERROR(INDEX(Fixture!$I$5:$I$108,MATCH(D288,Fixture!$A$5:$A$108,0)),"-999"),J288=IFERROR(INDEX(Fixture!$J$5:$J$108,MATCH(D288,Fixture!$A$5:$A$108,0)),"-999")),IFERROR(INDEX(Fases!$C$5:$C$10,MATCH(IFERROR(INDEX(Fixture!$B$5:$B$108,MATCH(D288,Fixture!$A$5:$A$108,0)),0),Fases!$A$5:$A$10,0)),0),IF(OR(AND(I288&gt;J288,IFERROR(INDEX(Fixture!$I$5:$I$108,MATCH(D288,Fixture!$A$5:$A$108,0)),0)&gt;IFERROR(INDEX(Fixture!$J$5:$J$108,MATCH(D288,Fixture!$A$5:$A$108,0)),0)),AND(I288&lt;J288,IFERROR(INDEX(Fixture!$I$5:$I$108,MATCH(D288,Fixture!$A$5:$A$108,0)),0)&lt;IFERROR(INDEX(Fixture!$J$5:$J$108,MATCH(D288,Fixture!$A$5:$A$108,0)),0)),AND(I288=J288,IFERROR(INDEX(Fixture!$I$5:$I$108,MATCH(D288,Fixture!$A$5:$A$108,0)),0)=IFERROR(INDEX(Fixture!$J$5:$J$108,MATCH(D288,Fixture!$A$5:$A$108,0)),0))),IFERROR(INDEX(Fases!$D$5:$D$10,MATCH(IFERROR(INDEX(Fixture!$B$5:$B$108,MATCH(D288,Fixture!$A$5:$A$108,0)),0),Fases!$A$5:$A$10,0)),0),0))))</f>
        <v/>
      </c>
      <c r="M288" s="10" t="str">
        <f aca="false">IFERROR(INDEX(Fixture!$K$5:$K$108,MATCH(D288,Fixture!$A$5:$A$108,0)),"")</f>
        <v>PENDIENTE</v>
      </c>
    </row>
    <row r="289" customFormat="false" ht="15" hidden="false" customHeight="false" outlineLevel="0" collapsed="false">
      <c r="A289" s="11" t="n">
        <v>285</v>
      </c>
      <c r="B289" s="11" t="n">
        <v>3</v>
      </c>
      <c r="C289" s="12" t="str">
        <f aca="false">IFERROR(INDEX(Usuarios!$C$5:$C$200,MATCH(B289,Usuarios!$A$5:$A$200,0)),"")</f>
        <v>juanpe</v>
      </c>
      <c r="D289" s="11" t="n">
        <v>79</v>
      </c>
      <c r="E289" s="12" t="str">
        <f aca="false">IFERROR(INDEX(Fases!$B$5:$B$10,MATCH(INDEX(Fixture!$B$5:$B$108,MATCH(D289,Fixture!$A$5:$A$108,0)),Fases!$A$5:$A$10,0)),"")</f>
        <v>Ronda de 32</v>
      </c>
      <c r="F289" s="12" t="str">
        <f aca="false">IFERROR(INDEX(Fixture!$E$5:$E$108,MATCH(D289,Fixture!$A$5:$A$108,0)),"")</f>
        <v>A definir</v>
      </c>
      <c r="G289" s="12" t="str">
        <f aca="false">IFERROR(INDEX(Fixture!$F$5:$F$108,MATCH(D289,Fixture!$A$5:$A$108,0)),"")</f>
        <v>A definir</v>
      </c>
      <c r="H289" s="20" t="n">
        <f aca="false">IFERROR(INDEX(Fixture!$G$5:$G$108,MATCH(D289,Fixture!$A$5:$A$108,0)),"")</f>
        <v>46201.75</v>
      </c>
      <c r="I289" s="21"/>
      <c r="J289" s="21"/>
      <c r="K289" s="12" t="str">
        <f aca="false">IFERROR(INDEX(Fixture!$I$5:$I$108,MATCH(D289,Fixture!$A$5:$A$108,0))&amp;"-"&amp;INDEX(Fixture!$J$5:$J$108,MATCH(D289,Fixture!$A$5:$A$108,0)),"")</f>
        <v>-</v>
      </c>
      <c r="L289" s="11" t="str">
        <f aca="false">IF(M289&lt;&gt;"FINALIZADO","",IF(OR(ISBLANK(I289),ISBLANK(J289)),0,IF(AND(I289=IFERROR(INDEX(Fixture!$I$5:$I$108,MATCH(D289,Fixture!$A$5:$A$108,0)),"-999"),J289=IFERROR(INDEX(Fixture!$J$5:$J$108,MATCH(D289,Fixture!$A$5:$A$108,0)),"-999")),IFERROR(INDEX(Fases!$C$5:$C$10,MATCH(IFERROR(INDEX(Fixture!$B$5:$B$108,MATCH(D289,Fixture!$A$5:$A$108,0)),0),Fases!$A$5:$A$10,0)),0),IF(OR(AND(I289&gt;J289,IFERROR(INDEX(Fixture!$I$5:$I$108,MATCH(D289,Fixture!$A$5:$A$108,0)),0)&gt;IFERROR(INDEX(Fixture!$J$5:$J$108,MATCH(D289,Fixture!$A$5:$A$108,0)),0)),AND(I289&lt;J289,IFERROR(INDEX(Fixture!$I$5:$I$108,MATCH(D289,Fixture!$A$5:$A$108,0)),0)&lt;IFERROR(INDEX(Fixture!$J$5:$J$108,MATCH(D289,Fixture!$A$5:$A$108,0)),0)),AND(I289=J289,IFERROR(INDEX(Fixture!$I$5:$I$108,MATCH(D289,Fixture!$A$5:$A$108,0)),0)=IFERROR(INDEX(Fixture!$J$5:$J$108,MATCH(D289,Fixture!$A$5:$A$108,0)),0))),IFERROR(INDEX(Fases!$D$5:$D$10,MATCH(IFERROR(INDEX(Fixture!$B$5:$B$108,MATCH(D289,Fixture!$A$5:$A$108,0)),0),Fases!$A$5:$A$10,0)),0),0))))</f>
        <v/>
      </c>
      <c r="M289" s="12" t="str">
        <f aca="false">IFERROR(INDEX(Fixture!$K$5:$K$108,MATCH(D289,Fixture!$A$5:$A$108,0)),"")</f>
        <v>PENDIENTE</v>
      </c>
    </row>
    <row r="290" customFormat="false" ht="15" hidden="false" customHeight="false" outlineLevel="0" collapsed="false">
      <c r="A290" s="9" t="n">
        <v>286</v>
      </c>
      <c r="B290" s="9" t="n">
        <v>3</v>
      </c>
      <c r="C290" s="10" t="str">
        <f aca="false">IFERROR(INDEX(Usuarios!$C$5:$C$200,MATCH(B290,Usuarios!$A$5:$A$200,0)),"")</f>
        <v>juanpe</v>
      </c>
      <c r="D290" s="9" t="n">
        <v>80</v>
      </c>
      <c r="E290" s="10" t="str">
        <f aca="false">IFERROR(INDEX(Fases!$B$5:$B$10,MATCH(INDEX(Fixture!$B$5:$B$108,MATCH(D290,Fixture!$A$5:$A$108,0)),Fases!$A$5:$A$10,0)),"")</f>
        <v>Ronda de 32</v>
      </c>
      <c r="F290" s="10" t="str">
        <f aca="false">IFERROR(INDEX(Fixture!$E$5:$E$108,MATCH(D290,Fixture!$A$5:$A$108,0)),"")</f>
        <v>A definir</v>
      </c>
      <c r="G290" s="10" t="str">
        <f aca="false">IFERROR(INDEX(Fixture!$F$5:$F$108,MATCH(D290,Fixture!$A$5:$A$108,0)),"")</f>
        <v>A definir</v>
      </c>
      <c r="H290" s="22" t="n">
        <f aca="false">IFERROR(INDEX(Fixture!$G$5:$G$108,MATCH(D290,Fixture!$A$5:$A$108,0)),"")</f>
        <v>46201.75</v>
      </c>
      <c r="I290" s="23"/>
      <c r="J290" s="23"/>
      <c r="K290" s="10" t="str">
        <f aca="false">IFERROR(INDEX(Fixture!$I$5:$I$108,MATCH(D290,Fixture!$A$5:$A$108,0))&amp;"-"&amp;INDEX(Fixture!$J$5:$J$108,MATCH(D290,Fixture!$A$5:$A$108,0)),"")</f>
        <v>-</v>
      </c>
      <c r="L290" s="9" t="str">
        <f aca="false">IF(M290&lt;&gt;"FINALIZADO","",IF(OR(ISBLANK(I290),ISBLANK(J290)),0,IF(AND(I290=IFERROR(INDEX(Fixture!$I$5:$I$108,MATCH(D290,Fixture!$A$5:$A$108,0)),"-999"),J290=IFERROR(INDEX(Fixture!$J$5:$J$108,MATCH(D290,Fixture!$A$5:$A$108,0)),"-999")),IFERROR(INDEX(Fases!$C$5:$C$10,MATCH(IFERROR(INDEX(Fixture!$B$5:$B$108,MATCH(D290,Fixture!$A$5:$A$108,0)),0),Fases!$A$5:$A$10,0)),0),IF(OR(AND(I290&gt;J290,IFERROR(INDEX(Fixture!$I$5:$I$108,MATCH(D290,Fixture!$A$5:$A$108,0)),0)&gt;IFERROR(INDEX(Fixture!$J$5:$J$108,MATCH(D290,Fixture!$A$5:$A$108,0)),0)),AND(I290&lt;J290,IFERROR(INDEX(Fixture!$I$5:$I$108,MATCH(D290,Fixture!$A$5:$A$108,0)),0)&lt;IFERROR(INDEX(Fixture!$J$5:$J$108,MATCH(D290,Fixture!$A$5:$A$108,0)),0)),AND(I290=J290,IFERROR(INDEX(Fixture!$I$5:$I$108,MATCH(D290,Fixture!$A$5:$A$108,0)),0)=IFERROR(INDEX(Fixture!$J$5:$J$108,MATCH(D290,Fixture!$A$5:$A$108,0)),0))),IFERROR(INDEX(Fases!$D$5:$D$10,MATCH(IFERROR(INDEX(Fixture!$B$5:$B$108,MATCH(D290,Fixture!$A$5:$A$108,0)),0),Fases!$A$5:$A$10,0)),0),0))))</f>
        <v/>
      </c>
      <c r="M290" s="10" t="str">
        <f aca="false">IFERROR(INDEX(Fixture!$K$5:$K$108,MATCH(D290,Fixture!$A$5:$A$108,0)),"")</f>
        <v>PENDIENTE</v>
      </c>
    </row>
    <row r="291" customFormat="false" ht="15" hidden="false" customHeight="false" outlineLevel="0" collapsed="false">
      <c r="A291" s="11" t="n">
        <v>287</v>
      </c>
      <c r="B291" s="11" t="n">
        <v>3</v>
      </c>
      <c r="C291" s="12" t="str">
        <f aca="false">IFERROR(INDEX(Usuarios!$C$5:$C$200,MATCH(B291,Usuarios!$A$5:$A$200,0)),"")</f>
        <v>juanpe</v>
      </c>
      <c r="D291" s="11" t="n">
        <v>81</v>
      </c>
      <c r="E291" s="12" t="str">
        <f aca="false">IFERROR(INDEX(Fases!$B$5:$B$10,MATCH(INDEX(Fixture!$B$5:$B$108,MATCH(D291,Fixture!$A$5:$A$108,0)),Fases!$A$5:$A$10,0)),"")</f>
        <v>Ronda de 32</v>
      </c>
      <c r="F291" s="12" t="str">
        <f aca="false">IFERROR(INDEX(Fixture!$E$5:$E$108,MATCH(D291,Fixture!$A$5:$A$108,0)),"")</f>
        <v>A definir</v>
      </c>
      <c r="G291" s="12" t="str">
        <f aca="false">IFERROR(INDEX(Fixture!$F$5:$F$108,MATCH(D291,Fixture!$A$5:$A$108,0)),"")</f>
        <v>A definir</v>
      </c>
      <c r="H291" s="20" t="n">
        <f aca="false">IFERROR(INDEX(Fixture!$G$5:$G$108,MATCH(D291,Fixture!$A$5:$A$108,0)),"")</f>
        <v>46202.75</v>
      </c>
      <c r="I291" s="21"/>
      <c r="J291" s="21"/>
      <c r="K291" s="12" t="str">
        <f aca="false">IFERROR(INDEX(Fixture!$I$5:$I$108,MATCH(D291,Fixture!$A$5:$A$108,0))&amp;"-"&amp;INDEX(Fixture!$J$5:$J$108,MATCH(D291,Fixture!$A$5:$A$108,0)),"")</f>
        <v>-</v>
      </c>
      <c r="L291" s="11" t="str">
        <f aca="false">IF(M291&lt;&gt;"FINALIZADO","",IF(OR(ISBLANK(I291),ISBLANK(J291)),0,IF(AND(I291=IFERROR(INDEX(Fixture!$I$5:$I$108,MATCH(D291,Fixture!$A$5:$A$108,0)),"-999"),J291=IFERROR(INDEX(Fixture!$J$5:$J$108,MATCH(D291,Fixture!$A$5:$A$108,0)),"-999")),IFERROR(INDEX(Fases!$C$5:$C$10,MATCH(IFERROR(INDEX(Fixture!$B$5:$B$108,MATCH(D291,Fixture!$A$5:$A$108,0)),0),Fases!$A$5:$A$10,0)),0),IF(OR(AND(I291&gt;J291,IFERROR(INDEX(Fixture!$I$5:$I$108,MATCH(D291,Fixture!$A$5:$A$108,0)),0)&gt;IFERROR(INDEX(Fixture!$J$5:$J$108,MATCH(D291,Fixture!$A$5:$A$108,0)),0)),AND(I291&lt;J291,IFERROR(INDEX(Fixture!$I$5:$I$108,MATCH(D291,Fixture!$A$5:$A$108,0)),0)&lt;IFERROR(INDEX(Fixture!$J$5:$J$108,MATCH(D291,Fixture!$A$5:$A$108,0)),0)),AND(I291=J291,IFERROR(INDEX(Fixture!$I$5:$I$108,MATCH(D291,Fixture!$A$5:$A$108,0)),0)=IFERROR(INDEX(Fixture!$J$5:$J$108,MATCH(D291,Fixture!$A$5:$A$108,0)),0))),IFERROR(INDEX(Fases!$D$5:$D$10,MATCH(IFERROR(INDEX(Fixture!$B$5:$B$108,MATCH(D291,Fixture!$A$5:$A$108,0)),0),Fases!$A$5:$A$10,0)),0),0))))</f>
        <v/>
      </c>
      <c r="M291" s="12" t="str">
        <f aca="false">IFERROR(INDEX(Fixture!$K$5:$K$108,MATCH(D291,Fixture!$A$5:$A$108,0)),"")</f>
        <v>PENDIENTE</v>
      </c>
    </row>
    <row r="292" customFormat="false" ht="15" hidden="false" customHeight="false" outlineLevel="0" collapsed="false">
      <c r="A292" s="9" t="n">
        <v>288</v>
      </c>
      <c r="B292" s="9" t="n">
        <v>3</v>
      </c>
      <c r="C292" s="10" t="str">
        <f aca="false">IFERROR(INDEX(Usuarios!$C$5:$C$200,MATCH(B292,Usuarios!$A$5:$A$200,0)),"")</f>
        <v>juanpe</v>
      </c>
      <c r="D292" s="9" t="n">
        <v>82</v>
      </c>
      <c r="E292" s="10" t="str">
        <f aca="false">IFERROR(INDEX(Fases!$B$5:$B$10,MATCH(INDEX(Fixture!$B$5:$B$108,MATCH(D292,Fixture!$A$5:$A$108,0)),Fases!$A$5:$A$10,0)),"")</f>
        <v>Ronda de 32</v>
      </c>
      <c r="F292" s="10" t="str">
        <f aca="false">IFERROR(INDEX(Fixture!$E$5:$E$108,MATCH(D292,Fixture!$A$5:$A$108,0)),"")</f>
        <v>A definir</v>
      </c>
      <c r="G292" s="10" t="str">
        <f aca="false">IFERROR(INDEX(Fixture!$F$5:$F$108,MATCH(D292,Fixture!$A$5:$A$108,0)),"")</f>
        <v>A definir</v>
      </c>
      <c r="H292" s="22" t="n">
        <f aca="false">IFERROR(INDEX(Fixture!$G$5:$G$108,MATCH(D292,Fixture!$A$5:$A$108,0)),"")</f>
        <v>46202.75</v>
      </c>
      <c r="I292" s="23"/>
      <c r="J292" s="23"/>
      <c r="K292" s="10" t="str">
        <f aca="false">IFERROR(INDEX(Fixture!$I$5:$I$108,MATCH(D292,Fixture!$A$5:$A$108,0))&amp;"-"&amp;INDEX(Fixture!$J$5:$J$108,MATCH(D292,Fixture!$A$5:$A$108,0)),"")</f>
        <v>-</v>
      </c>
      <c r="L292" s="9" t="str">
        <f aca="false">IF(M292&lt;&gt;"FINALIZADO","",IF(OR(ISBLANK(I292),ISBLANK(J292)),0,IF(AND(I292=IFERROR(INDEX(Fixture!$I$5:$I$108,MATCH(D292,Fixture!$A$5:$A$108,0)),"-999"),J292=IFERROR(INDEX(Fixture!$J$5:$J$108,MATCH(D292,Fixture!$A$5:$A$108,0)),"-999")),IFERROR(INDEX(Fases!$C$5:$C$10,MATCH(IFERROR(INDEX(Fixture!$B$5:$B$108,MATCH(D292,Fixture!$A$5:$A$108,0)),0),Fases!$A$5:$A$10,0)),0),IF(OR(AND(I292&gt;J292,IFERROR(INDEX(Fixture!$I$5:$I$108,MATCH(D292,Fixture!$A$5:$A$108,0)),0)&gt;IFERROR(INDEX(Fixture!$J$5:$J$108,MATCH(D292,Fixture!$A$5:$A$108,0)),0)),AND(I292&lt;J292,IFERROR(INDEX(Fixture!$I$5:$I$108,MATCH(D292,Fixture!$A$5:$A$108,0)),0)&lt;IFERROR(INDEX(Fixture!$J$5:$J$108,MATCH(D292,Fixture!$A$5:$A$108,0)),0)),AND(I292=J292,IFERROR(INDEX(Fixture!$I$5:$I$108,MATCH(D292,Fixture!$A$5:$A$108,0)),0)=IFERROR(INDEX(Fixture!$J$5:$J$108,MATCH(D292,Fixture!$A$5:$A$108,0)),0))),IFERROR(INDEX(Fases!$D$5:$D$10,MATCH(IFERROR(INDEX(Fixture!$B$5:$B$108,MATCH(D292,Fixture!$A$5:$A$108,0)),0),Fases!$A$5:$A$10,0)),0),0))))</f>
        <v/>
      </c>
      <c r="M292" s="10" t="str">
        <f aca="false">IFERROR(INDEX(Fixture!$K$5:$K$108,MATCH(D292,Fixture!$A$5:$A$108,0)),"")</f>
        <v>PENDIENTE</v>
      </c>
    </row>
    <row r="293" customFormat="false" ht="15" hidden="false" customHeight="false" outlineLevel="0" collapsed="false">
      <c r="A293" s="11" t="n">
        <v>289</v>
      </c>
      <c r="B293" s="11" t="n">
        <v>3</v>
      </c>
      <c r="C293" s="12" t="str">
        <f aca="false">IFERROR(INDEX(Usuarios!$C$5:$C$200,MATCH(B293,Usuarios!$A$5:$A$200,0)),"")</f>
        <v>juanpe</v>
      </c>
      <c r="D293" s="11" t="n">
        <v>83</v>
      </c>
      <c r="E293" s="12" t="str">
        <f aca="false">IFERROR(INDEX(Fases!$B$5:$B$10,MATCH(INDEX(Fixture!$B$5:$B$108,MATCH(D293,Fixture!$A$5:$A$108,0)),Fases!$A$5:$A$10,0)),"")</f>
        <v>Ronda de 32</v>
      </c>
      <c r="F293" s="12" t="str">
        <f aca="false">IFERROR(INDEX(Fixture!$E$5:$E$108,MATCH(D293,Fixture!$A$5:$A$108,0)),"")</f>
        <v>A definir</v>
      </c>
      <c r="G293" s="12" t="str">
        <f aca="false">IFERROR(INDEX(Fixture!$F$5:$F$108,MATCH(D293,Fixture!$A$5:$A$108,0)),"")</f>
        <v>A definir</v>
      </c>
      <c r="H293" s="20" t="n">
        <f aca="false">IFERROR(INDEX(Fixture!$G$5:$G$108,MATCH(D293,Fixture!$A$5:$A$108,0)),"")</f>
        <v>46202.75</v>
      </c>
      <c r="I293" s="21"/>
      <c r="J293" s="21"/>
      <c r="K293" s="12" t="str">
        <f aca="false">IFERROR(INDEX(Fixture!$I$5:$I$108,MATCH(D293,Fixture!$A$5:$A$108,0))&amp;"-"&amp;INDEX(Fixture!$J$5:$J$108,MATCH(D293,Fixture!$A$5:$A$108,0)),"")</f>
        <v>-</v>
      </c>
      <c r="L293" s="11" t="str">
        <f aca="false">IF(M293&lt;&gt;"FINALIZADO","",IF(OR(ISBLANK(I293),ISBLANK(J293)),0,IF(AND(I293=IFERROR(INDEX(Fixture!$I$5:$I$108,MATCH(D293,Fixture!$A$5:$A$108,0)),"-999"),J293=IFERROR(INDEX(Fixture!$J$5:$J$108,MATCH(D293,Fixture!$A$5:$A$108,0)),"-999")),IFERROR(INDEX(Fases!$C$5:$C$10,MATCH(IFERROR(INDEX(Fixture!$B$5:$B$108,MATCH(D293,Fixture!$A$5:$A$108,0)),0),Fases!$A$5:$A$10,0)),0),IF(OR(AND(I293&gt;J293,IFERROR(INDEX(Fixture!$I$5:$I$108,MATCH(D293,Fixture!$A$5:$A$108,0)),0)&gt;IFERROR(INDEX(Fixture!$J$5:$J$108,MATCH(D293,Fixture!$A$5:$A$108,0)),0)),AND(I293&lt;J293,IFERROR(INDEX(Fixture!$I$5:$I$108,MATCH(D293,Fixture!$A$5:$A$108,0)),0)&lt;IFERROR(INDEX(Fixture!$J$5:$J$108,MATCH(D293,Fixture!$A$5:$A$108,0)),0)),AND(I293=J293,IFERROR(INDEX(Fixture!$I$5:$I$108,MATCH(D293,Fixture!$A$5:$A$108,0)),0)=IFERROR(INDEX(Fixture!$J$5:$J$108,MATCH(D293,Fixture!$A$5:$A$108,0)),0))),IFERROR(INDEX(Fases!$D$5:$D$10,MATCH(IFERROR(INDEX(Fixture!$B$5:$B$108,MATCH(D293,Fixture!$A$5:$A$108,0)),0),Fases!$A$5:$A$10,0)),0),0))))</f>
        <v/>
      </c>
      <c r="M293" s="12" t="str">
        <f aca="false">IFERROR(INDEX(Fixture!$K$5:$K$108,MATCH(D293,Fixture!$A$5:$A$108,0)),"")</f>
        <v>PENDIENTE</v>
      </c>
    </row>
    <row r="294" customFormat="false" ht="15" hidden="false" customHeight="false" outlineLevel="0" collapsed="false">
      <c r="A294" s="9" t="n">
        <v>290</v>
      </c>
      <c r="B294" s="9" t="n">
        <v>3</v>
      </c>
      <c r="C294" s="10" t="str">
        <f aca="false">IFERROR(INDEX(Usuarios!$C$5:$C$200,MATCH(B294,Usuarios!$A$5:$A$200,0)),"")</f>
        <v>juanpe</v>
      </c>
      <c r="D294" s="9" t="n">
        <v>84</v>
      </c>
      <c r="E294" s="10" t="str">
        <f aca="false">IFERROR(INDEX(Fases!$B$5:$B$10,MATCH(INDEX(Fixture!$B$5:$B$108,MATCH(D294,Fixture!$A$5:$A$108,0)),Fases!$A$5:$A$10,0)),"")</f>
        <v>Ronda de 32</v>
      </c>
      <c r="F294" s="10" t="str">
        <f aca="false">IFERROR(INDEX(Fixture!$E$5:$E$108,MATCH(D294,Fixture!$A$5:$A$108,0)),"")</f>
        <v>A definir</v>
      </c>
      <c r="G294" s="10" t="str">
        <f aca="false">IFERROR(INDEX(Fixture!$F$5:$F$108,MATCH(D294,Fixture!$A$5:$A$108,0)),"")</f>
        <v>A definir</v>
      </c>
      <c r="H294" s="22" t="n">
        <f aca="false">IFERROR(INDEX(Fixture!$G$5:$G$108,MATCH(D294,Fixture!$A$5:$A$108,0)),"")</f>
        <v>46202.75</v>
      </c>
      <c r="I294" s="23"/>
      <c r="J294" s="23"/>
      <c r="K294" s="10" t="str">
        <f aca="false">IFERROR(INDEX(Fixture!$I$5:$I$108,MATCH(D294,Fixture!$A$5:$A$108,0))&amp;"-"&amp;INDEX(Fixture!$J$5:$J$108,MATCH(D294,Fixture!$A$5:$A$108,0)),"")</f>
        <v>-</v>
      </c>
      <c r="L294" s="9" t="str">
        <f aca="false">IF(M294&lt;&gt;"FINALIZADO","",IF(OR(ISBLANK(I294),ISBLANK(J294)),0,IF(AND(I294=IFERROR(INDEX(Fixture!$I$5:$I$108,MATCH(D294,Fixture!$A$5:$A$108,0)),"-999"),J294=IFERROR(INDEX(Fixture!$J$5:$J$108,MATCH(D294,Fixture!$A$5:$A$108,0)),"-999")),IFERROR(INDEX(Fases!$C$5:$C$10,MATCH(IFERROR(INDEX(Fixture!$B$5:$B$108,MATCH(D294,Fixture!$A$5:$A$108,0)),0),Fases!$A$5:$A$10,0)),0),IF(OR(AND(I294&gt;J294,IFERROR(INDEX(Fixture!$I$5:$I$108,MATCH(D294,Fixture!$A$5:$A$108,0)),0)&gt;IFERROR(INDEX(Fixture!$J$5:$J$108,MATCH(D294,Fixture!$A$5:$A$108,0)),0)),AND(I294&lt;J294,IFERROR(INDEX(Fixture!$I$5:$I$108,MATCH(D294,Fixture!$A$5:$A$108,0)),0)&lt;IFERROR(INDEX(Fixture!$J$5:$J$108,MATCH(D294,Fixture!$A$5:$A$108,0)),0)),AND(I294=J294,IFERROR(INDEX(Fixture!$I$5:$I$108,MATCH(D294,Fixture!$A$5:$A$108,0)),0)=IFERROR(INDEX(Fixture!$J$5:$J$108,MATCH(D294,Fixture!$A$5:$A$108,0)),0))),IFERROR(INDEX(Fases!$D$5:$D$10,MATCH(IFERROR(INDEX(Fixture!$B$5:$B$108,MATCH(D294,Fixture!$A$5:$A$108,0)),0),Fases!$A$5:$A$10,0)),0),0))))</f>
        <v/>
      </c>
      <c r="M294" s="10" t="str">
        <f aca="false">IFERROR(INDEX(Fixture!$K$5:$K$108,MATCH(D294,Fixture!$A$5:$A$108,0)),"")</f>
        <v>PENDIENTE</v>
      </c>
    </row>
    <row r="295" customFormat="false" ht="15" hidden="false" customHeight="false" outlineLevel="0" collapsed="false">
      <c r="A295" s="11" t="n">
        <v>291</v>
      </c>
      <c r="B295" s="11" t="n">
        <v>3</v>
      </c>
      <c r="C295" s="12" t="str">
        <f aca="false">IFERROR(INDEX(Usuarios!$C$5:$C$200,MATCH(B295,Usuarios!$A$5:$A$200,0)),"")</f>
        <v>juanpe</v>
      </c>
      <c r="D295" s="11" t="n">
        <v>85</v>
      </c>
      <c r="E295" s="12" t="str">
        <f aca="false">IFERROR(INDEX(Fases!$B$5:$B$10,MATCH(INDEX(Fixture!$B$5:$B$108,MATCH(D295,Fixture!$A$5:$A$108,0)),Fases!$A$5:$A$10,0)),"")</f>
        <v>Ronda de 32</v>
      </c>
      <c r="F295" s="12" t="str">
        <f aca="false">IFERROR(INDEX(Fixture!$E$5:$E$108,MATCH(D295,Fixture!$A$5:$A$108,0)),"")</f>
        <v>A definir</v>
      </c>
      <c r="G295" s="12" t="str">
        <f aca="false">IFERROR(INDEX(Fixture!$F$5:$F$108,MATCH(D295,Fixture!$A$5:$A$108,0)),"")</f>
        <v>A definir</v>
      </c>
      <c r="H295" s="20" t="n">
        <f aca="false">IFERROR(INDEX(Fixture!$G$5:$G$108,MATCH(D295,Fixture!$A$5:$A$108,0)),"")</f>
        <v>46203.75</v>
      </c>
      <c r="I295" s="21"/>
      <c r="J295" s="21"/>
      <c r="K295" s="12" t="str">
        <f aca="false">IFERROR(INDEX(Fixture!$I$5:$I$108,MATCH(D295,Fixture!$A$5:$A$108,0))&amp;"-"&amp;INDEX(Fixture!$J$5:$J$108,MATCH(D295,Fixture!$A$5:$A$108,0)),"")</f>
        <v>-</v>
      </c>
      <c r="L295" s="11" t="str">
        <f aca="false">IF(M295&lt;&gt;"FINALIZADO","",IF(OR(ISBLANK(I295),ISBLANK(J295)),0,IF(AND(I295=IFERROR(INDEX(Fixture!$I$5:$I$108,MATCH(D295,Fixture!$A$5:$A$108,0)),"-999"),J295=IFERROR(INDEX(Fixture!$J$5:$J$108,MATCH(D295,Fixture!$A$5:$A$108,0)),"-999")),IFERROR(INDEX(Fases!$C$5:$C$10,MATCH(IFERROR(INDEX(Fixture!$B$5:$B$108,MATCH(D295,Fixture!$A$5:$A$108,0)),0),Fases!$A$5:$A$10,0)),0),IF(OR(AND(I295&gt;J295,IFERROR(INDEX(Fixture!$I$5:$I$108,MATCH(D295,Fixture!$A$5:$A$108,0)),0)&gt;IFERROR(INDEX(Fixture!$J$5:$J$108,MATCH(D295,Fixture!$A$5:$A$108,0)),0)),AND(I295&lt;J295,IFERROR(INDEX(Fixture!$I$5:$I$108,MATCH(D295,Fixture!$A$5:$A$108,0)),0)&lt;IFERROR(INDEX(Fixture!$J$5:$J$108,MATCH(D295,Fixture!$A$5:$A$108,0)),0)),AND(I295=J295,IFERROR(INDEX(Fixture!$I$5:$I$108,MATCH(D295,Fixture!$A$5:$A$108,0)),0)=IFERROR(INDEX(Fixture!$J$5:$J$108,MATCH(D295,Fixture!$A$5:$A$108,0)),0))),IFERROR(INDEX(Fases!$D$5:$D$10,MATCH(IFERROR(INDEX(Fixture!$B$5:$B$108,MATCH(D295,Fixture!$A$5:$A$108,0)),0),Fases!$A$5:$A$10,0)),0),0))))</f>
        <v/>
      </c>
      <c r="M295" s="12" t="str">
        <f aca="false">IFERROR(INDEX(Fixture!$K$5:$K$108,MATCH(D295,Fixture!$A$5:$A$108,0)),"")</f>
        <v>PENDIENTE</v>
      </c>
    </row>
    <row r="296" customFormat="false" ht="15" hidden="false" customHeight="false" outlineLevel="0" collapsed="false">
      <c r="A296" s="9" t="n">
        <v>292</v>
      </c>
      <c r="B296" s="9" t="n">
        <v>3</v>
      </c>
      <c r="C296" s="10" t="str">
        <f aca="false">IFERROR(INDEX(Usuarios!$C$5:$C$200,MATCH(B296,Usuarios!$A$5:$A$200,0)),"")</f>
        <v>juanpe</v>
      </c>
      <c r="D296" s="9" t="n">
        <v>86</v>
      </c>
      <c r="E296" s="10" t="str">
        <f aca="false">IFERROR(INDEX(Fases!$B$5:$B$10,MATCH(INDEX(Fixture!$B$5:$B$108,MATCH(D296,Fixture!$A$5:$A$108,0)),Fases!$A$5:$A$10,0)),"")</f>
        <v>Ronda de 32</v>
      </c>
      <c r="F296" s="10" t="str">
        <f aca="false">IFERROR(INDEX(Fixture!$E$5:$E$108,MATCH(D296,Fixture!$A$5:$A$108,0)),"")</f>
        <v>A definir</v>
      </c>
      <c r="G296" s="10" t="str">
        <f aca="false">IFERROR(INDEX(Fixture!$F$5:$F$108,MATCH(D296,Fixture!$A$5:$A$108,0)),"")</f>
        <v>A definir</v>
      </c>
      <c r="H296" s="22" t="n">
        <f aca="false">IFERROR(INDEX(Fixture!$G$5:$G$108,MATCH(D296,Fixture!$A$5:$A$108,0)),"")</f>
        <v>46203.75</v>
      </c>
      <c r="I296" s="23"/>
      <c r="J296" s="23"/>
      <c r="K296" s="10" t="str">
        <f aca="false">IFERROR(INDEX(Fixture!$I$5:$I$108,MATCH(D296,Fixture!$A$5:$A$108,0))&amp;"-"&amp;INDEX(Fixture!$J$5:$J$108,MATCH(D296,Fixture!$A$5:$A$108,0)),"")</f>
        <v>-</v>
      </c>
      <c r="L296" s="9" t="str">
        <f aca="false">IF(M296&lt;&gt;"FINALIZADO","",IF(OR(ISBLANK(I296),ISBLANK(J296)),0,IF(AND(I296=IFERROR(INDEX(Fixture!$I$5:$I$108,MATCH(D296,Fixture!$A$5:$A$108,0)),"-999"),J296=IFERROR(INDEX(Fixture!$J$5:$J$108,MATCH(D296,Fixture!$A$5:$A$108,0)),"-999")),IFERROR(INDEX(Fases!$C$5:$C$10,MATCH(IFERROR(INDEX(Fixture!$B$5:$B$108,MATCH(D296,Fixture!$A$5:$A$108,0)),0),Fases!$A$5:$A$10,0)),0),IF(OR(AND(I296&gt;J296,IFERROR(INDEX(Fixture!$I$5:$I$108,MATCH(D296,Fixture!$A$5:$A$108,0)),0)&gt;IFERROR(INDEX(Fixture!$J$5:$J$108,MATCH(D296,Fixture!$A$5:$A$108,0)),0)),AND(I296&lt;J296,IFERROR(INDEX(Fixture!$I$5:$I$108,MATCH(D296,Fixture!$A$5:$A$108,0)),0)&lt;IFERROR(INDEX(Fixture!$J$5:$J$108,MATCH(D296,Fixture!$A$5:$A$108,0)),0)),AND(I296=J296,IFERROR(INDEX(Fixture!$I$5:$I$108,MATCH(D296,Fixture!$A$5:$A$108,0)),0)=IFERROR(INDEX(Fixture!$J$5:$J$108,MATCH(D296,Fixture!$A$5:$A$108,0)),0))),IFERROR(INDEX(Fases!$D$5:$D$10,MATCH(IFERROR(INDEX(Fixture!$B$5:$B$108,MATCH(D296,Fixture!$A$5:$A$108,0)),0),Fases!$A$5:$A$10,0)),0),0))))</f>
        <v/>
      </c>
      <c r="M296" s="10" t="str">
        <f aca="false">IFERROR(INDEX(Fixture!$K$5:$K$108,MATCH(D296,Fixture!$A$5:$A$108,0)),"")</f>
        <v>PENDIENTE</v>
      </c>
    </row>
    <row r="297" customFormat="false" ht="15" hidden="false" customHeight="false" outlineLevel="0" collapsed="false">
      <c r="A297" s="11" t="n">
        <v>293</v>
      </c>
      <c r="B297" s="11" t="n">
        <v>3</v>
      </c>
      <c r="C297" s="12" t="str">
        <f aca="false">IFERROR(INDEX(Usuarios!$C$5:$C$200,MATCH(B297,Usuarios!$A$5:$A$200,0)),"")</f>
        <v>juanpe</v>
      </c>
      <c r="D297" s="11" t="n">
        <v>87</v>
      </c>
      <c r="E297" s="12" t="str">
        <f aca="false">IFERROR(INDEX(Fases!$B$5:$B$10,MATCH(INDEX(Fixture!$B$5:$B$108,MATCH(D297,Fixture!$A$5:$A$108,0)),Fases!$A$5:$A$10,0)),"")</f>
        <v>Ronda de 32</v>
      </c>
      <c r="F297" s="12" t="str">
        <f aca="false">IFERROR(INDEX(Fixture!$E$5:$E$108,MATCH(D297,Fixture!$A$5:$A$108,0)),"")</f>
        <v>A definir</v>
      </c>
      <c r="G297" s="12" t="str">
        <f aca="false">IFERROR(INDEX(Fixture!$F$5:$F$108,MATCH(D297,Fixture!$A$5:$A$108,0)),"")</f>
        <v>A definir</v>
      </c>
      <c r="H297" s="20" t="n">
        <f aca="false">IFERROR(INDEX(Fixture!$G$5:$G$108,MATCH(D297,Fixture!$A$5:$A$108,0)),"")</f>
        <v>46203.75</v>
      </c>
      <c r="I297" s="21"/>
      <c r="J297" s="21"/>
      <c r="K297" s="12" t="str">
        <f aca="false">IFERROR(INDEX(Fixture!$I$5:$I$108,MATCH(D297,Fixture!$A$5:$A$108,0))&amp;"-"&amp;INDEX(Fixture!$J$5:$J$108,MATCH(D297,Fixture!$A$5:$A$108,0)),"")</f>
        <v>-</v>
      </c>
      <c r="L297" s="11" t="str">
        <f aca="false">IF(M297&lt;&gt;"FINALIZADO","",IF(OR(ISBLANK(I297),ISBLANK(J297)),0,IF(AND(I297=IFERROR(INDEX(Fixture!$I$5:$I$108,MATCH(D297,Fixture!$A$5:$A$108,0)),"-999"),J297=IFERROR(INDEX(Fixture!$J$5:$J$108,MATCH(D297,Fixture!$A$5:$A$108,0)),"-999")),IFERROR(INDEX(Fases!$C$5:$C$10,MATCH(IFERROR(INDEX(Fixture!$B$5:$B$108,MATCH(D297,Fixture!$A$5:$A$108,0)),0),Fases!$A$5:$A$10,0)),0),IF(OR(AND(I297&gt;J297,IFERROR(INDEX(Fixture!$I$5:$I$108,MATCH(D297,Fixture!$A$5:$A$108,0)),0)&gt;IFERROR(INDEX(Fixture!$J$5:$J$108,MATCH(D297,Fixture!$A$5:$A$108,0)),0)),AND(I297&lt;J297,IFERROR(INDEX(Fixture!$I$5:$I$108,MATCH(D297,Fixture!$A$5:$A$108,0)),0)&lt;IFERROR(INDEX(Fixture!$J$5:$J$108,MATCH(D297,Fixture!$A$5:$A$108,0)),0)),AND(I297=J297,IFERROR(INDEX(Fixture!$I$5:$I$108,MATCH(D297,Fixture!$A$5:$A$108,0)),0)=IFERROR(INDEX(Fixture!$J$5:$J$108,MATCH(D297,Fixture!$A$5:$A$108,0)),0))),IFERROR(INDEX(Fases!$D$5:$D$10,MATCH(IFERROR(INDEX(Fixture!$B$5:$B$108,MATCH(D297,Fixture!$A$5:$A$108,0)),0),Fases!$A$5:$A$10,0)),0),0))))</f>
        <v/>
      </c>
      <c r="M297" s="12" t="str">
        <f aca="false">IFERROR(INDEX(Fixture!$K$5:$K$108,MATCH(D297,Fixture!$A$5:$A$108,0)),"")</f>
        <v>PENDIENTE</v>
      </c>
    </row>
    <row r="298" customFormat="false" ht="15" hidden="false" customHeight="false" outlineLevel="0" collapsed="false">
      <c r="A298" s="9" t="n">
        <v>294</v>
      </c>
      <c r="B298" s="9" t="n">
        <v>3</v>
      </c>
      <c r="C298" s="10" t="str">
        <f aca="false">IFERROR(INDEX(Usuarios!$C$5:$C$200,MATCH(B298,Usuarios!$A$5:$A$200,0)),"")</f>
        <v>juanpe</v>
      </c>
      <c r="D298" s="9" t="n">
        <v>88</v>
      </c>
      <c r="E298" s="10" t="str">
        <f aca="false">IFERROR(INDEX(Fases!$B$5:$B$10,MATCH(INDEX(Fixture!$B$5:$B$108,MATCH(D298,Fixture!$A$5:$A$108,0)),Fases!$A$5:$A$10,0)),"")</f>
        <v>Ronda de 32</v>
      </c>
      <c r="F298" s="10" t="str">
        <f aca="false">IFERROR(INDEX(Fixture!$E$5:$E$108,MATCH(D298,Fixture!$A$5:$A$108,0)),"")</f>
        <v>A definir</v>
      </c>
      <c r="G298" s="10" t="str">
        <f aca="false">IFERROR(INDEX(Fixture!$F$5:$F$108,MATCH(D298,Fixture!$A$5:$A$108,0)),"")</f>
        <v>A definir</v>
      </c>
      <c r="H298" s="22" t="n">
        <f aca="false">IFERROR(INDEX(Fixture!$G$5:$G$108,MATCH(D298,Fixture!$A$5:$A$108,0)),"")</f>
        <v>46203.75</v>
      </c>
      <c r="I298" s="23"/>
      <c r="J298" s="23"/>
      <c r="K298" s="10" t="str">
        <f aca="false">IFERROR(INDEX(Fixture!$I$5:$I$108,MATCH(D298,Fixture!$A$5:$A$108,0))&amp;"-"&amp;INDEX(Fixture!$J$5:$J$108,MATCH(D298,Fixture!$A$5:$A$108,0)),"")</f>
        <v>-</v>
      </c>
      <c r="L298" s="9" t="str">
        <f aca="false">IF(M298&lt;&gt;"FINALIZADO","",IF(OR(ISBLANK(I298),ISBLANK(J298)),0,IF(AND(I298=IFERROR(INDEX(Fixture!$I$5:$I$108,MATCH(D298,Fixture!$A$5:$A$108,0)),"-999"),J298=IFERROR(INDEX(Fixture!$J$5:$J$108,MATCH(D298,Fixture!$A$5:$A$108,0)),"-999")),IFERROR(INDEX(Fases!$C$5:$C$10,MATCH(IFERROR(INDEX(Fixture!$B$5:$B$108,MATCH(D298,Fixture!$A$5:$A$108,0)),0),Fases!$A$5:$A$10,0)),0),IF(OR(AND(I298&gt;J298,IFERROR(INDEX(Fixture!$I$5:$I$108,MATCH(D298,Fixture!$A$5:$A$108,0)),0)&gt;IFERROR(INDEX(Fixture!$J$5:$J$108,MATCH(D298,Fixture!$A$5:$A$108,0)),0)),AND(I298&lt;J298,IFERROR(INDEX(Fixture!$I$5:$I$108,MATCH(D298,Fixture!$A$5:$A$108,0)),0)&lt;IFERROR(INDEX(Fixture!$J$5:$J$108,MATCH(D298,Fixture!$A$5:$A$108,0)),0)),AND(I298=J298,IFERROR(INDEX(Fixture!$I$5:$I$108,MATCH(D298,Fixture!$A$5:$A$108,0)),0)=IFERROR(INDEX(Fixture!$J$5:$J$108,MATCH(D298,Fixture!$A$5:$A$108,0)),0))),IFERROR(INDEX(Fases!$D$5:$D$10,MATCH(IFERROR(INDEX(Fixture!$B$5:$B$108,MATCH(D298,Fixture!$A$5:$A$108,0)),0),Fases!$A$5:$A$10,0)),0),0))))</f>
        <v/>
      </c>
      <c r="M298" s="10" t="str">
        <f aca="false">IFERROR(INDEX(Fixture!$K$5:$K$108,MATCH(D298,Fixture!$A$5:$A$108,0)),"")</f>
        <v>PENDIENTE</v>
      </c>
    </row>
    <row r="299" customFormat="false" ht="15" hidden="false" customHeight="false" outlineLevel="0" collapsed="false">
      <c r="A299" s="11" t="n">
        <v>295</v>
      </c>
      <c r="B299" s="11" t="n">
        <v>3</v>
      </c>
      <c r="C299" s="12" t="str">
        <f aca="false">IFERROR(INDEX(Usuarios!$C$5:$C$200,MATCH(B299,Usuarios!$A$5:$A$200,0)),"")</f>
        <v>juanpe</v>
      </c>
      <c r="D299" s="11" t="n">
        <v>89</v>
      </c>
      <c r="E299" s="12" t="str">
        <f aca="false">IFERROR(INDEX(Fases!$B$5:$B$10,MATCH(INDEX(Fixture!$B$5:$B$108,MATCH(D299,Fixture!$A$5:$A$108,0)),Fases!$A$5:$A$10,0)),"")</f>
        <v>Octavos</v>
      </c>
      <c r="F299" s="12" t="str">
        <f aca="false">IFERROR(INDEX(Fixture!$E$5:$E$108,MATCH(D299,Fixture!$A$5:$A$108,0)),"")</f>
        <v>A definir</v>
      </c>
      <c r="G299" s="12" t="str">
        <f aca="false">IFERROR(INDEX(Fixture!$F$5:$F$108,MATCH(D299,Fixture!$A$5:$A$108,0)),"")</f>
        <v>A definir</v>
      </c>
      <c r="H299" s="20" t="n">
        <f aca="false">IFERROR(INDEX(Fixture!$G$5:$G$108,MATCH(D299,Fixture!$A$5:$A$108,0)),"")</f>
        <v>46206.75</v>
      </c>
      <c r="I299" s="21"/>
      <c r="J299" s="21"/>
      <c r="K299" s="12" t="str">
        <f aca="false">IFERROR(INDEX(Fixture!$I$5:$I$108,MATCH(D299,Fixture!$A$5:$A$108,0))&amp;"-"&amp;INDEX(Fixture!$J$5:$J$108,MATCH(D299,Fixture!$A$5:$A$108,0)),"")</f>
        <v>-</v>
      </c>
      <c r="L299" s="11" t="str">
        <f aca="false">IF(M299&lt;&gt;"FINALIZADO","",IF(OR(ISBLANK(I299),ISBLANK(J299)),0,IF(AND(I299=IFERROR(INDEX(Fixture!$I$5:$I$108,MATCH(D299,Fixture!$A$5:$A$108,0)),"-999"),J299=IFERROR(INDEX(Fixture!$J$5:$J$108,MATCH(D299,Fixture!$A$5:$A$108,0)),"-999")),IFERROR(INDEX(Fases!$C$5:$C$10,MATCH(IFERROR(INDEX(Fixture!$B$5:$B$108,MATCH(D299,Fixture!$A$5:$A$108,0)),0),Fases!$A$5:$A$10,0)),0),IF(OR(AND(I299&gt;J299,IFERROR(INDEX(Fixture!$I$5:$I$108,MATCH(D299,Fixture!$A$5:$A$108,0)),0)&gt;IFERROR(INDEX(Fixture!$J$5:$J$108,MATCH(D299,Fixture!$A$5:$A$108,0)),0)),AND(I299&lt;J299,IFERROR(INDEX(Fixture!$I$5:$I$108,MATCH(D299,Fixture!$A$5:$A$108,0)),0)&lt;IFERROR(INDEX(Fixture!$J$5:$J$108,MATCH(D299,Fixture!$A$5:$A$108,0)),0)),AND(I299=J299,IFERROR(INDEX(Fixture!$I$5:$I$108,MATCH(D299,Fixture!$A$5:$A$108,0)),0)=IFERROR(INDEX(Fixture!$J$5:$J$108,MATCH(D299,Fixture!$A$5:$A$108,0)),0))),IFERROR(INDEX(Fases!$D$5:$D$10,MATCH(IFERROR(INDEX(Fixture!$B$5:$B$108,MATCH(D299,Fixture!$A$5:$A$108,0)),0),Fases!$A$5:$A$10,0)),0),0))))</f>
        <v/>
      </c>
      <c r="M299" s="12" t="str">
        <f aca="false">IFERROR(INDEX(Fixture!$K$5:$K$108,MATCH(D299,Fixture!$A$5:$A$108,0)),"")</f>
        <v>PENDIENTE</v>
      </c>
    </row>
    <row r="300" customFormat="false" ht="15" hidden="false" customHeight="false" outlineLevel="0" collapsed="false">
      <c r="A300" s="9" t="n">
        <v>296</v>
      </c>
      <c r="B300" s="9" t="n">
        <v>3</v>
      </c>
      <c r="C300" s="10" t="str">
        <f aca="false">IFERROR(INDEX(Usuarios!$C$5:$C$200,MATCH(B300,Usuarios!$A$5:$A$200,0)),"")</f>
        <v>juanpe</v>
      </c>
      <c r="D300" s="9" t="n">
        <v>90</v>
      </c>
      <c r="E300" s="10" t="str">
        <f aca="false">IFERROR(INDEX(Fases!$B$5:$B$10,MATCH(INDEX(Fixture!$B$5:$B$108,MATCH(D300,Fixture!$A$5:$A$108,0)),Fases!$A$5:$A$10,0)),"")</f>
        <v>Octavos</v>
      </c>
      <c r="F300" s="10" t="str">
        <f aca="false">IFERROR(INDEX(Fixture!$E$5:$E$108,MATCH(D300,Fixture!$A$5:$A$108,0)),"")</f>
        <v>A definir</v>
      </c>
      <c r="G300" s="10" t="str">
        <f aca="false">IFERROR(INDEX(Fixture!$F$5:$F$108,MATCH(D300,Fixture!$A$5:$A$108,0)),"")</f>
        <v>A definir</v>
      </c>
      <c r="H300" s="22" t="n">
        <f aca="false">IFERROR(INDEX(Fixture!$G$5:$G$108,MATCH(D300,Fixture!$A$5:$A$108,0)),"")</f>
        <v>46206.75</v>
      </c>
      <c r="I300" s="23"/>
      <c r="J300" s="23"/>
      <c r="K300" s="10" t="str">
        <f aca="false">IFERROR(INDEX(Fixture!$I$5:$I$108,MATCH(D300,Fixture!$A$5:$A$108,0))&amp;"-"&amp;INDEX(Fixture!$J$5:$J$108,MATCH(D300,Fixture!$A$5:$A$108,0)),"")</f>
        <v>-</v>
      </c>
      <c r="L300" s="9" t="str">
        <f aca="false">IF(M300&lt;&gt;"FINALIZADO","",IF(OR(ISBLANK(I300),ISBLANK(J300)),0,IF(AND(I300=IFERROR(INDEX(Fixture!$I$5:$I$108,MATCH(D300,Fixture!$A$5:$A$108,0)),"-999"),J300=IFERROR(INDEX(Fixture!$J$5:$J$108,MATCH(D300,Fixture!$A$5:$A$108,0)),"-999")),IFERROR(INDEX(Fases!$C$5:$C$10,MATCH(IFERROR(INDEX(Fixture!$B$5:$B$108,MATCH(D300,Fixture!$A$5:$A$108,0)),0),Fases!$A$5:$A$10,0)),0),IF(OR(AND(I300&gt;J300,IFERROR(INDEX(Fixture!$I$5:$I$108,MATCH(D300,Fixture!$A$5:$A$108,0)),0)&gt;IFERROR(INDEX(Fixture!$J$5:$J$108,MATCH(D300,Fixture!$A$5:$A$108,0)),0)),AND(I300&lt;J300,IFERROR(INDEX(Fixture!$I$5:$I$108,MATCH(D300,Fixture!$A$5:$A$108,0)),0)&lt;IFERROR(INDEX(Fixture!$J$5:$J$108,MATCH(D300,Fixture!$A$5:$A$108,0)),0)),AND(I300=J300,IFERROR(INDEX(Fixture!$I$5:$I$108,MATCH(D300,Fixture!$A$5:$A$108,0)),0)=IFERROR(INDEX(Fixture!$J$5:$J$108,MATCH(D300,Fixture!$A$5:$A$108,0)),0))),IFERROR(INDEX(Fases!$D$5:$D$10,MATCH(IFERROR(INDEX(Fixture!$B$5:$B$108,MATCH(D300,Fixture!$A$5:$A$108,0)),0),Fases!$A$5:$A$10,0)),0),0))))</f>
        <v/>
      </c>
      <c r="M300" s="10" t="str">
        <f aca="false">IFERROR(INDEX(Fixture!$K$5:$K$108,MATCH(D300,Fixture!$A$5:$A$108,0)),"")</f>
        <v>PENDIENTE</v>
      </c>
    </row>
    <row r="301" customFormat="false" ht="15" hidden="false" customHeight="false" outlineLevel="0" collapsed="false">
      <c r="A301" s="11" t="n">
        <v>297</v>
      </c>
      <c r="B301" s="11" t="n">
        <v>3</v>
      </c>
      <c r="C301" s="12" t="str">
        <f aca="false">IFERROR(INDEX(Usuarios!$C$5:$C$200,MATCH(B301,Usuarios!$A$5:$A$200,0)),"")</f>
        <v>juanpe</v>
      </c>
      <c r="D301" s="11" t="n">
        <v>91</v>
      </c>
      <c r="E301" s="12" t="str">
        <f aca="false">IFERROR(INDEX(Fases!$B$5:$B$10,MATCH(INDEX(Fixture!$B$5:$B$108,MATCH(D301,Fixture!$A$5:$A$108,0)),Fases!$A$5:$A$10,0)),"")</f>
        <v>Octavos</v>
      </c>
      <c r="F301" s="12" t="str">
        <f aca="false">IFERROR(INDEX(Fixture!$E$5:$E$108,MATCH(D301,Fixture!$A$5:$A$108,0)),"")</f>
        <v>A definir</v>
      </c>
      <c r="G301" s="12" t="str">
        <f aca="false">IFERROR(INDEX(Fixture!$F$5:$F$108,MATCH(D301,Fixture!$A$5:$A$108,0)),"")</f>
        <v>A definir</v>
      </c>
      <c r="H301" s="20" t="n">
        <f aca="false">IFERROR(INDEX(Fixture!$G$5:$G$108,MATCH(D301,Fixture!$A$5:$A$108,0)),"")</f>
        <v>46207.75</v>
      </c>
      <c r="I301" s="21"/>
      <c r="J301" s="21"/>
      <c r="K301" s="12" t="str">
        <f aca="false">IFERROR(INDEX(Fixture!$I$5:$I$108,MATCH(D301,Fixture!$A$5:$A$108,0))&amp;"-"&amp;INDEX(Fixture!$J$5:$J$108,MATCH(D301,Fixture!$A$5:$A$108,0)),"")</f>
        <v>-</v>
      </c>
      <c r="L301" s="11" t="str">
        <f aca="false">IF(M301&lt;&gt;"FINALIZADO","",IF(OR(ISBLANK(I301),ISBLANK(J301)),0,IF(AND(I301=IFERROR(INDEX(Fixture!$I$5:$I$108,MATCH(D301,Fixture!$A$5:$A$108,0)),"-999"),J301=IFERROR(INDEX(Fixture!$J$5:$J$108,MATCH(D301,Fixture!$A$5:$A$108,0)),"-999")),IFERROR(INDEX(Fases!$C$5:$C$10,MATCH(IFERROR(INDEX(Fixture!$B$5:$B$108,MATCH(D301,Fixture!$A$5:$A$108,0)),0),Fases!$A$5:$A$10,0)),0),IF(OR(AND(I301&gt;J301,IFERROR(INDEX(Fixture!$I$5:$I$108,MATCH(D301,Fixture!$A$5:$A$108,0)),0)&gt;IFERROR(INDEX(Fixture!$J$5:$J$108,MATCH(D301,Fixture!$A$5:$A$108,0)),0)),AND(I301&lt;J301,IFERROR(INDEX(Fixture!$I$5:$I$108,MATCH(D301,Fixture!$A$5:$A$108,0)),0)&lt;IFERROR(INDEX(Fixture!$J$5:$J$108,MATCH(D301,Fixture!$A$5:$A$108,0)),0)),AND(I301=J301,IFERROR(INDEX(Fixture!$I$5:$I$108,MATCH(D301,Fixture!$A$5:$A$108,0)),0)=IFERROR(INDEX(Fixture!$J$5:$J$108,MATCH(D301,Fixture!$A$5:$A$108,0)),0))),IFERROR(INDEX(Fases!$D$5:$D$10,MATCH(IFERROR(INDEX(Fixture!$B$5:$B$108,MATCH(D301,Fixture!$A$5:$A$108,0)),0),Fases!$A$5:$A$10,0)),0),0))))</f>
        <v/>
      </c>
      <c r="M301" s="12" t="str">
        <f aca="false">IFERROR(INDEX(Fixture!$K$5:$K$108,MATCH(D301,Fixture!$A$5:$A$108,0)),"")</f>
        <v>PENDIENTE</v>
      </c>
    </row>
    <row r="302" customFormat="false" ht="15" hidden="false" customHeight="false" outlineLevel="0" collapsed="false">
      <c r="A302" s="9" t="n">
        <v>298</v>
      </c>
      <c r="B302" s="9" t="n">
        <v>3</v>
      </c>
      <c r="C302" s="10" t="str">
        <f aca="false">IFERROR(INDEX(Usuarios!$C$5:$C$200,MATCH(B302,Usuarios!$A$5:$A$200,0)),"")</f>
        <v>juanpe</v>
      </c>
      <c r="D302" s="9" t="n">
        <v>92</v>
      </c>
      <c r="E302" s="10" t="str">
        <f aca="false">IFERROR(INDEX(Fases!$B$5:$B$10,MATCH(INDEX(Fixture!$B$5:$B$108,MATCH(D302,Fixture!$A$5:$A$108,0)),Fases!$A$5:$A$10,0)),"")</f>
        <v>Octavos</v>
      </c>
      <c r="F302" s="10" t="str">
        <f aca="false">IFERROR(INDEX(Fixture!$E$5:$E$108,MATCH(D302,Fixture!$A$5:$A$108,0)),"")</f>
        <v>A definir</v>
      </c>
      <c r="G302" s="10" t="str">
        <f aca="false">IFERROR(INDEX(Fixture!$F$5:$F$108,MATCH(D302,Fixture!$A$5:$A$108,0)),"")</f>
        <v>A definir</v>
      </c>
      <c r="H302" s="22" t="n">
        <f aca="false">IFERROR(INDEX(Fixture!$G$5:$G$108,MATCH(D302,Fixture!$A$5:$A$108,0)),"")</f>
        <v>46207.75</v>
      </c>
      <c r="I302" s="23"/>
      <c r="J302" s="23"/>
      <c r="K302" s="10" t="str">
        <f aca="false">IFERROR(INDEX(Fixture!$I$5:$I$108,MATCH(D302,Fixture!$A$5:$A$108,0))&amp;"-"&amp;INDEX(Fixture!$J$5:$J$108,MATCH(D302,Fixture!$A$5:$A$108,0)),"")</f>
        <v>-</v>
      </c>
      <c r="L302" s="9" t="str">
        <f aca="false">IF(M302&lt;&gt;"FINALIZADO","",IF(OR(ISBLANK(I302),ISBLANK(J302)),0,IF(AND(I302=IFERROR(INDEX(Fixture!$I$5:$I$108,MATCH(D302,Fixture!$A$5:$A$108,0)),"-999"),J302=IFERROR(INDEX(Fixture!$J$5:$J$108,MATCH(D302,Fixture!$A$5:$A$108,0)),"-999")),IFERROR(INDEX(Fases!$C$5:$C$10,MATCH(IFERROR(INDEX(Fixture!$B$5:$B$108,MATCH(D302,Fixture!$A$5:$A$108,0)),0),Fases!$A$5:$A$10,0)),0),IF(OR(AND(I302&gt;J302,IFERROR(INDEX(Fixture!$I$5:$I$108,MATCH(D302,Fixture!$A$5:$A$108,0)),0)&gt;IFERROR(INDEX(Fixture!$J$5:$J$108,MATCH(D302,Fixture!$A$5:$A$108,0)),0)),AND(I302&lt;J302,IFERROR(INDEX(Fixture!$I$5:$I$108,MATCH(D302,Fixture!$A$5:$A$108,0)),0)&lt;IFERROR(INDEX(Fixture!$J$5:$J$108,MATCH(D302,Fixture!$A$5:$A$108,0)),0)),AND(I302=J302,IFERROR(INDEX(Fixture!$I$5:$I$108,MATCH(D302,Fixture!$A$5:$A$108,0)),0)=IFERROR(INDEX(Fixture!$J$5:$J$108,MATCH(D302,Fixture!$A$5:$A$108,0)),0))),IFERROR(INDEX(Fases!$D$5:$D$10,MATCH(IFERROR(INDEX(Fixture!$B$5:$B$108,MATCH(D302,Fixture!$A$5:$A$108,0)),0),Fases!$A$5:$A$10,0)),0),0))))</f>
        <v/>
      </c>
      <c r="M302" s="10" t="str">
        <f aca="false">IFERROR(INDEX(Fixture!$K$5:$K$108,MATCH(D302,Fixture!$A$5:$A$108,0)),"")</f>
        <v>PENDIENTE</v>
      </c>
    </row>
    <row r="303" customFormat="false" ht="15" hidden="false" customHeight="false" outlineLevel="0" collapsed="false">
      <c r="A303" s="11" t="n">
        <v>299</v>
      </c>
      <c r="B303" s="11" t="n">
        <v>3</v>
      </c>
      <c r="C303" s="12" t="str">
        <f aca="false">IFERROR(INDEX(Usuarios!$C$5:$C$200,MATCH(B303,Usuarios!$A$5:$A$200,0)),"")</f>
        <v>juanpe</v>
      </c>
      <c r="D303" s="11" t="n">
        <v>93</v>
      </c>
      <c r="E303" s="12" t="str">
        <f aca="false">IFERROR(INDEX(Fases!$B$5:$B$10,MATCH(INDEX(Fixture!$B$5:$B$108,MATCH(D303,Fixture!$A$5:$A$108,0)),Fases!$A$5:$A$10,0)),"")</f>
        <v>Octavos</v>
      </c>
      <c r="F303" s="12" t="str">
        <f aca="false">IFERROR(INDEX(Fixture!$E$5:$E$108,MATCH(D303,Fixture!$A$5:$A$108,0)),"")</f>
        <v>A definir</v>
      </c>
      <c r="G303" s="12" t="str">
        <f aca="false">IFERROR(INDEX(Fixture!$F$5:$F$108,MATCH(D303,Fixture!$A$5:$A$108,0)),"")</f>
        <v>A definir</v>
      </c>
      <c r="H303" s="20" t="n">
        <f aca="false">IFERROR(INDEX(Fixture!$G$5:$G$108,MATCH(D303,Fixture!$A$5:$A$108,0)),"")</f>
        <v>46208.75</v>
      </c>
      <c r="I303" s="21"/>
      <c r="J303" s="21"/>
      <c r="K303" s="12" t="str">
        <f aca="false">IFERROR(INDEX(Fixture!$I$5:$I$108,MATCH(D303,Fixture!$A$5:$A$108,0))&amp;"-"&amp;INDEX(Fixture!$J$5:$J$108,MATCH(D303,Fixture!$A$5:$A$108,0)),"")</f>
        <v>-</v>
      </c>
      <c r="L303" s="11" t="str">
        <f aca="false">IF(M303&lt;&gt;"FINALIZADO","",IF(OR(ISBLANK(I303),ISBLANK(J303)),0,IF(AND(I303=IFERROR(INDEX(Fixture!$I$5:$I$108,MATCH(D303,Fixture!$A$5:$A$108,0)),"-999"),J303=IFERROR(INDEX(Fixture!$J$5:$J$108,MATCH(D303,Fixture!$A$5:$A$108,0)),"-999")),IFERROR(INDEX(Fases!$C$5:$C$10,MATCH(IFERROR(INDEX(Fixture!$B$5:$B$108,MATCH(D303,Fixture!$A$5:$A$108,0)),0),Fases!$A$5:$A$10,0)),0),IF(OR(AND(I303&gt;J303,IFERROR(INDEX(Fixture!$I$5:$I$108,MATCH(D303,Fixture!$A$5:$A$108,0)),0)&gt;IFERROR(INDEX(Fixture!$J$5:$J$108,MATCH(D303,Fixture!$A$5:$A$108,0)),0)),AND(I303&lt;J303,IFERROR(INDEX(Fixture!$I$5:$I$108,MATCH(D303,Fixture!$A$5:$A$108,0)),0)&lt;IFERROR(INDEX(Fixture!$J$5:$J$108,MATCH(D303,Fixture!$A$5:$A$108,0)),0)),AND(I303=J303,IFERROR(INDEX(Fixture!$I$5:$I$108,MATCH(D303,Fixture!$A$5:$A$108,0)),0)=IFERROR(INDEX(Fixture!$J$5:$J$108,MATCH(D303,Fixture!$A$5:$A$108,0)),0))),IFERROR(INDEX(Fases!$D$5:$D$10,MATCH(IFERROR(INDEX(Fixture!$B$5:$B$108,MATCH(D303,Fixture!$A$5:$A$108,0)),0),Fases!$A$5:$A$10,0)),0),0))))</f>
        <v/>
      </c>
      <c r="M303" s="12" t="str">
        <f aca="false">IFERROR(INDEX(Fixture!$K$5:$K$108,MATCH(D303,Fixture!$A$5:$A$108,0)),"")</f>
        <v>PENDIENTE</v>
      </c>
    </row>
    <row r="304" customFormat="false" ht="15" hidden="false" customHeight="false" outlineLevel="0" collapsed="false">
      <c r="A304" s="9" t="n">
        <v>300</v>
      </c>
      <c r="B304" s="9" t="n">
        <v>3</v>
      </c>
      <c r="C304" s="10" t="str">
        <f aca="false">IFERROR(INDEX(Usuarios!$C$5:$C$200,MATCH(B304,Usuarios!$A$5:$A$200,0)),"")</f>
        <v>juanpe</v>
      </c>
      <c r="D304" s="9" t="n">
        <v>94</v>
      </c>
      <c r="E304" s="10" t="str">
        <f aca="false">IFERROR(INDEX(Fases!$B$5:$B$10,MATCH(INDEX(Fixture!$B$5:$B$108,MATCH(D304,Fixture!$A$5:$A$108,0)),Fases!$A$5:$A$10,0)),"")</f>
        <v>Octavos</v>
      </c>
      <c r="F304" s="10" t="str">
        <f aca="false">IFERROR(INDEX(Fixture!$E$5:$E$108,MATCH(D304,Fixture!$A$5:$A$108,0)),"")</f>
        <v>A definir</v>
      </c>
      <c r="G304" s="10" t="str">
        <f aca="false">IFERROR(INDEX(Fixture!$F$5:$F$108,MATCH(D304,Fixture!$A$5:$A$108,0)),"")</f>
        <v>A definir</v>
      </c>
      <c r="H304" s="22" t="n">
        <f aca="false">IFERROR(INDEX(Fixture!$G$5:$G$108,MATCH(D304,Fixture!$A$5:$A$108,0)),"")</f>
        <v>46208.75</v>
      </c>
      <c r="I304" s="23"/>
      <c r="J304" s="23"/>
      <c r="K304" s="10" t="str">
        <f aca="false">IFERROR(INDEX(Fixture!$I$5:$I$108,MATCH(D304,Fixture!$A$5:$A$108,0))&amp;"-"&amp;INDEX(Fixture!$J$5:$J$108,MATCH(D304,Fixture!$A$5:$A$108,0)),"")</f>
        <v>-</v>
      </c>
      <c r="L304" s="9" t="str">
        <f aca="false">IF(M304&lt;&gt;"FINALIZADO","",IF(OR(ISBLANK(I304),ISBLANK(J304)),0,IF(AND(I304=IFERROR(INDEX(Fixture!$I$5:$I$108,MATCH(D304,Fixture!$A$5:$A$108,0)),"-999"),J304=IFERROR(INDEX(Fixture!$J$5:$J$108,MATCH(D304,Fixture!$A$5:$A$108,0)),"-999")),IFERROR(INDEX(Fases!$C$5:$C$10,MATCH(IFERROR(INDEX(Fixture!$B$5:$B$108,MATCH(D304,Fixture!$A$5:$A$108,0)),0),Fases!$A$5:$A$10,0)),0),IF(OR(AND(I304&gt;J304,IFERROR(INDEX(Fixture!$I$5:$I$108,MATCH(D304,Fixture!$A$5:$A$108,0)),0)&gt;IFERROR(INDEX(Fixture!$J$5:$J$108,MATCH(D304,Fixture!$A$5:$A$108,0)),0)),AND(I304&lt;J304,IFERROR(INDEX(Fixture!$I$5:$I$108,MATCH(D304,Fixture!$A$5:$A$108,0)),0)&lt;IFERROR(INDEX(Fixture!$J$5:$J$108,MATCH(D304,Fixture!$A$5:$A$108,0)),0)),AND(I304=J304,IFERROR(INDEX(Fixture!$I$5:$I$108,MATCH(D304,Fixture!$A$5:$A$108,0)),0)=IFERROR(INDEX(Fixture!$J$5:$J$108,MATCH(D304,Fixture!$A$5:$A$108,0)),0))),IFERROR(INDEX(Fases!$D$5:$D$10,MATCH(IFERROR(INDEX(Fixture!$B$5:$B$108,MATCH(D304,Fixture!$A$5:$A$108,0)),0),Fases!$A$5:$A$10,0)),0),0))))</f>
        <v/>
      </c>
      <c r="M304" s="10" t="str">
        <f aca="false">IFERROR(INDEX(Fixture!$K$5:$K$108,MATCH(D304,Fixture!$A$5:$A$108,0)),"")</f>
        <v>PENDIENTE</v>
      </c>
    </row>
    <row r="305" customFormat="false" ht="15" hidden="false" customHeight="false" outlineLevel="0" collapsed="false">
      <c r="A305" s="11" t="n">
        <v>301</v>
      </c>
      <c r="B305" s="11" t="n">
        <v>3</v>
      </c>
      <c r="C305" s="12" t="str">
        <f aca="false">IFERROR(INDEX(Usuarios!$C$5:$C$200,MATCH(B305,Usuarios!$A$5:$A$200,0)),"")</f>
        <v>juanpe</v>
      </c>
      <c r="D305" s="11" t="n">
        <v>95</v>
      </c>
      <c r="E305" s="12" t="str">
        <f aca="false">IFERROR(INDEX(Fases!$B$5:$B$10,MATCH(INDEX(Fixture!$B$5:$B$108,MATCH(D305,Fixture!$A$5:$A$108,0)),Fases!$A$5:$A$10,0)),"")</f>
        <v>Octavos</v>
      </c>
      <c r="F305" s="12" t="str">
        <f aca="false">IFERROR(INDEX(Fixture!$E$5:$E$108,MATCH(D305,Fixture!$A$5:$A$108,0)),"")</f>
        <v>A definir</v>
      </c>
      <c r="G305" s="12" t="str">
        <f aca="false">IFERROR(INDEX(Fixture!$F$5:$F$108,MATCH(D305,Fixture!$A$5:$A$108,0)),"")</f>
        <v>A definir</v>
      </c>
      <c r="H305" s="20" t="n">
        <f aca="false">IFERROR(INDEX(Fixture!$G$5:$G$108,MATCH(D305,Fixture!$A$5:$A$108,0)),"")</f>
        <v>46209.75</v>
      </c>
      <c r="I305" s="21"/>
      <c r="J305" s="21"/>
      <c r="K305" s="12" t="str">
        <f aca="false">IFERROR(INDEX(Fixture!$I$5:$I$108,MATCH(D305,Fixture!$A$5:$A$108,0))&amp;"-"&amp;INDEX(Fixture!$J$5:$J$108,MATCH(D305,Fixture!$A$5:$A$108,0)),"")</f>
        <v>-</v>
      </c>
      <c r="L305" s="11" t="str">
        <f aca="false">IF(M305&lt;&gt;"FINALIZADO","",IF(OR(ISBLANK(I305),ISBLANK(J305)),0,IF(AND(I305=IFERROR(INDEX(Fixture!$I$5:$I$108,MATCH(D305,Fixture!$A$5:$A$108,0)),"-999"),J305=IFERROR(INDEX(Fixture!$J$5:$J$108,MATCH(D305,Fixture!$A$5:$A$108,0)),"-999")),IFERROR(INDEX(Fases!$C$5:$C$10,MATCH(IFERROR(INDEX(Fixture!$B$5:$B$108,MATCH(D305,Fixture!$A$5:$A$108,0)),0),Fases!$A$5:$A$10,0)),0),IF(OR(AND(I305&gt;J305,IFERROR(INDEX(Fixture!$I$5:$I$108,MATCH(D305,Fixture!$A$5:$A$108,0)),0)&gt;IFERROR(INDEX(Fixture!$J$5:$J$108,MATCH(D305,Fixture!$A$5:$A$108,0)),0)),AND(I305&lt;J305,IFERROR(INDEX(Fixture!$I$5:$I$108,MATCH(D305,Fixture!$A$5:$A$108,0)),0)&lt;IFERROR(INDEX(Fixture!$J$5:$J$108,MATCH(D305,Fixture!$A$5:$A$108,0)),0)),AND(I305=J305,IFERROR(INDEX(Fixture!$I$5:$I$108,MATCH(D305,Fixture!$A$5:$A$108,0)),0)=IFERROR(INDEX(Fixture!$J$5:$J$108,MATCH(D305,Fixture!$A$5:$A$108,0)),0))),IFERROR(INDEX(Fases!$D$5:$D$10,MATCH(IFERROR(INDEX(Fixture!$B$5:$B$108,MATCH(D305,Fixture!$A$5:$A$108,0)),0),Fases!$A$5:$A$10,0)),0),0))))</f>
        <v/>
      </c>
      <c r="M305" s="12" t="str">
        <f aca="false">IFERROR(INDEX(Fixture!$K$5:$K$108,MATCH(D305,Fixture!$A$5:$A$108,0)),"")</f>
        <v>PENDIENTE</v>
      </c>
    </row>
    <row r="306" customFormat="false" ht="15" hidden="false" customHeight="false" outlineLevel="0" collapsed="false">
      <c r="A306" s="9" t="n">
        <v>302</v>
      </c>
      <c r="B306" s="9" t="n">
        <v>3</v>
      </c>
      <c r="C306" s="10" t="str">
        <f aca="false">IFERROR(INDEX(Usuarios!$C$5:$C$200,MATCH(B306,Usuarios!$A$5:$A$200,0)),"")</f>
        <v>juanpe</v>
      </c>
      <c r="D306" s="9" t="n">
        <v>96</v>
      </c>
      <c r="E306" s="10" t="str">
        <f aca="false">IFERROR(INDEX(Fases!$B$5:$B$10,MATCH(INDEX(Fixture!$B$5:$B$108,MATCH(D306,Fixture!$A$5:$A$108,0)),Fases!$A$5:$A$10,0)),"")</f>
        <v>Octavos</v>
      </c>
      <c r="F306" s="10" t="str">
        <f aca="false">IFERROR(INDEX(Fixture!$E$5:$E$108,MATCH(D306,Fixture!$A$5:$A$108,0)),"")</f>
        <v>A definir</v>
      </c>
      <c r="G306" s="10" t="str">
        <f aca="false">IFERROR(INDEX(Fixture!$F$5:$F$108,MATCH(D306,Fixture!$A$5:$A$108,0)),"")</f>
        <v>A definir</v>
      </c>
      <c r="H306" s="22" t="n">
        <f aca="false">IFERROR(INDEX(Fixture!$G$5:$G$108,MATCH(D306,Fixture!$A$5:$A$108,0)),"")</f>
        <v>46209.75</v>
      </c>
      <c r="I306" s="23"/>
      <c r="J306" s="23"/>
      <c r="K306" s="10" t="str">
        <f aca="false">IFERROR(INDEX(Fixture!$I$5:$I$108,MATCH(D306,Fixture!$A$5:$A$108,0))&amp;"-"&amp;INDEX(Fixture!$J$5:$J$108,MATCH(D306,Fixture!$A$5:$A$108,0)),"")</f>
        <v>-</v>
      </c>
      <c r="L306" s="9" t="str">
        <f aca="false">IF(M306&lt;&gt;"FINALIZADO","",IF(OR(ISBLANK(I306),ISBLANK(J306)),0,IF(AND(I306=IFERROR(INDEX(Fixture!$I$5:$I$108,MATCH(D306,Fixture!$A$5:$A$108,0)),"-999"),J306=IFERROR(INDEX(Fixture!$J$5:$J$108,MATCH(D306,Fixture!$A$5:$A$108,0)),"-999")),IFERROR(INDEX(Fases!$C$5:$C$10,MATCH(IFERROR(INDEX(Fixture!$B$5:$B$108,MATCH(D306,Fixture!$A$5:$A$108,0)),0),Fases!$A$5:$A$10,0)),0),IF(OR(AND(I306&gt;J306,IFERROR(INDEX(Fixture!$I$5:$I$108,MATCH(D306,Fixture!$A$5:$A$108,0)),0)&gt;IFERROR(INDEX(Fixture!$J$5:$J$108,MATCH(D306,Fixture!$A$5:$A$108,0)),0)),AND(I306&lt;J306,IFERROR(INDEX(Fixture!$I$5:$I$108,MATCH(D306,Fixture!$A$5:$A$108,0)),0)&lt;IFERROR(INDEX(Fixture!$J$5:$J$108,MATCH(D306,Fixture!$A$5:$A$108,0)),0)),AND(I306=J306,IFERROR(INDEX(Fixture!$I$5:$I$108,MATCH(D306,Fixture!$A$5:$A$108,0)),0)=IFERROR(INDEX(Fixture!$J$5:$J$108,MATCH(D306,Fixture!$A$5:$A$108,0)),0))),IFERROR(INDEX(Fases!$D$5:$D$10,MATCH(IFERROR(INDEX(Fixture!$B$5:$B$108,MATCH(D306,Fixture!$A$5:$A$108,0)),0),Fases!$A$5:$A$10,0)),0),0))))</f>
        <v/>
      </c>
      <c r="M306" s="10" t="str">
        <f aca="false">IFERROR(INDEX(Fixture!$K$5:$K$108,MATCH(D306,Fixture!$A$5:$A$108,0)),"")</f>
        <v>PENDIENTE</v>
      </c>
    </row>
    <row r="307" customFormat="false" ht="15" hidden="false" customHeight="false" outlineLevel="0" collapsed="false">
      <c r="A307" s="11" t="n">
        <v>303</v>
      </c>
      <c r="B307" s="11" t="n">
        <v>3</v>
      </c>
      <c r="C307" s="12" t="str">
        <f aca="false">IFERROR(INDEX(Usuarios!$C$5:$C$200,MATCH(B307,Usuarios!$A$5:$A$200,0)),"")</f>
        <v>juanpe</v>
      </c>
      <c r="D307" s="11" t="n">
        <v>97</v>
      </c>
      <c r="E307" s="12" t="str">
        <f aca="false">IFERROR(INDEX(Fases!$B$5:$B$10,MATCH(INDEX(Fixture!$B$5:$B$108,MATCH(D307,Fixture!$A$5:$A$108,0)),Fases!$A$5:$A$10,0)),"")</f>
        <v>Cuartos</v>
      </c>
      <c r="F307" s="12" t="str">
        <f aca="false">IFERROR(INDEX(Fixture!$E$5:$E$108,MATCH(D307,Fixture!$A$5:$A$108,0)),"")</f>
        <v>A definir</v>
      </c>
      <c r="G307" s="12" t="str">
        <f aca="false">IFERROR(INDEX(Fixture!$F$5:$F$108,MATCH(D307,Fixture!$A$5:$A$108,0)),"")</f>
        <v>A definir</v>
      </c>
      <c r="H307" s="20" t="n">
        <f aca="false">IFERROR(INDEX(Fixture!$G$5:$G$108,MATCH(D307,Fixture!$A$5:$A$108,0)),"")</f>
        <v>46213.75</v>
      </c>
      <c r="I307" s="21"/>
      <c r="J307" s="21"/>
      <c r="K307" s="12" t="str">
        <f aca="false">IFERROR(INDEX(Fixture!$I$5:$I$108,MATCH(D307,Fixture!$A$5:$A$108,0))&amp;"-"&amp;INDEX(Fixture!$J$5:$J$108,MATCH(D307,Fixture!$A$5:$A$108,0)),"")</f>
        <v>-</v>
      </c>
      <c r="L307" s="11" t="str">
        <f aca="false">IF(M307&lt;&gt;"FINALIZADO","",IF(OR(ISBLANK(I307),ISBLANK(J307)),0,IF(AND(I307=IFERROR(INDEX(Fixture!$I$5:$I$108,MATCH(D307,Fixture!$A$5:$A$108,0)),"-999"),J307=IFERROR(INDEX(Fixture!$J$5:$J$108,MATCH(D307,Fixture!$A$5:$A$108,0)),"-999")),IFERROR(INDEX(Fases!$C$5:$C$10,MATCH(IFERROR(INDEX(Fixture!$B$5:$B$108,MATCH(D307,Fixture!$A$5:$A$108,0)),0),Fases!$A$5:$A$10,0)),0),IF(OR(AND(I307&gt;J307,IFERROR(INDEX(Fixture!$I$5:$I$108,MATCH(D307,Fixture!$A$5:$A$108,0)),0)&gt;IFERROR(INDEX(Fixture!$J$5:$J$108,MATCH(D307,Fixture!$A$5:$A$108,0)),0)),AND(I307&lt;J307,IFERROR(INDEX(Fixture!$I$5:$I$108,MATCH(D307,Fixture!$A$5:$A$108,0)),0)&lt;IFERROR(INDEX(Fixture!$J$5:$J$108,MATCH(D307,Fixture!$A$5:$A$108,0)),0)),AND(I307=J307,IFERROR(INDEX(Fixture!$I$5:$I$108,MATCH(D307,Fixture!$A$5:$A$108,0)),0)=IFERROR(INDEX(Fixture!$J$5:$J$108,MATCH(D307,Fixture!$A$5:$A$108,0)),0))),IFERROR(INDEX(Fases!$D$5:$D$10,MATCH(IFERROR(INDEX(Fixture!$B$5:$B$108,MATCH(D307,Fixture!$A$5:$A$108,0)),0),Fases!$A$5:$A$10,0)),0),0))))</f>
        <v/>
      </c>
      <c r="M307" s="12" t="str">
        <f aca="false">IFERROR(INDEX(Fixture!$K$5:$K$108,MATCH(D307,Fixture!$A$5:$A$108,0)),"")</f>
        <v>PENDIENTE</v>
      </c>
    </row>
    <row r="308" customFormat="false" ht="15" hidden="false" customHeight="false" outlineLevel="0" collapsed="false">
      <c r="A308" s="9" t="n">
        <v>304</v>
      </c>
      <c r="B308" s="9" t="n">
        <v>3</v>
      </c>
      <c r="C308" s="10" t="str">
        <f aca="false">IFERROR(INDEX(Usuarios!$C$5:$C$200,MATCH(B308,Usuarios!$A$5:$A$200,0)),"")</f>
        <v>juanpe</v>
      </c>
      <c r="D308" s="9" t="n">
        <v>98</v>
      </c>
      <c r="E308" s="10" t="str">
        <f aca="false">IFERROR(INDEX(Fases!$B$5:$B$10,MATCH(INDEX(Fixture!$B$5:$B$108,MATCH(D308,Fixture!$A$5:$A$108,0)),Fases!$A$5:$A$10,0)),"")</f>
        <v>Cuartos</v>
      </c>
      <c r="F308" s="10" t="str">
        <f aca="false">IFERROR(INDEX(Fixture!$E$5:$E$108,MATCH(D308,Fixture!$A$5:$A$108,0)),"")</f>
        <v>A definir</v>
      </c>
      <c r="G308" s="10" t="str">
        <f aca="false">IFERROR(INDEX(Fixture!$F$5:$F$108,MATCH(D308,Fixture!$A$5:$A$108,0)),"")</f>
        <v>A definir</v>
      </c>
      <c r="H308" s="22" t="n">
        <f aca="false">IFERROR(INDEX(Fixture!$G$5:$G$108,MATCH(D308,Fixture!$A$5:$A$108,0)),"")</f>
        <v>46214.75</v>
      </c>
      <c r="I308" s="23"/>
      <c r="J308" s="23"/>
      <c r="K308" s="10" t="str">
        <f aca="false">IFERROR(INDEX(Fixture!$I$5:$I$108,MATCH(D308,Fixture!$A$5:$A$108,0))&amp;"-"&amp;INDEX(Fixture!$J$5:$J$108,MATCH(D308,Fixture!$A$5:$A$108,0)),"")</f>
        <v>-</v>
      </c>
      <c r="L308" s="9" t="str">
        <f aca="false">IF(M308&lt;&gt;"FINALIZADO","",IF(OR(ISBLANK(I308),ISBLANK(J308)),0,IF(AND(I308=IFERROR(INDEX(Fixture!$I$5:$I$108,MATCH(D308,Fixture!$A$5:$A$108,0)),"-999"),J308=IFERROR(INDEX(Fixture!$J$5:$J$108,MATCH(D308,Fixture!$A$5:$A$108,0)),"-999")),IFERROR(INDEX(Fases!$C$5:$C$10,MATCH(IFERROR(INDEX(Fixture!$B$5:$B$108,MATCH(D308,Fixture!$A$5:$A$108,0)),0),Fases!$A$5:$A$10,0)),0),IF(OR(AND(I308&gt;J308,IFERROR(INDEX(Fixture!$I$5:$I$108,MATCH(D308,Fixture!$A$5:$A$108,0)),0)&gt;IFERROR(INDEX(Fixture!$J$5:$J$108,MATCH(D308,Fixture!$A$5:$A$108,0)),0)),AND(I308&lt;J308,IFERROR(INDEX(Fixture!$I$5:$I$108,MATCH(D308,Fixture!$A$5:$A$108,0)),0)&lt;IFERROR(INDEX(Fixture!$J$5:$J$108,MATCH(D308,Fixture!$A$5:$A$108,0)),0)),AND(I308=J308,IFERROR(INDEX(Fixture!$I$5:$I$108,MATCH(D308,Fixture!$A$5:$A$108,0)),0)=IFERROR(INDEX(Fixture!$J$5:$J$108,MATCH(D308,Fixture!$A$5:$A$108,0)),0))),IFERROR(INDEX(Fases!$D$5:$D$10,MATCH(IFERROR(INDEX(Fixture!$B$5:$B$108,MATCH(D308,Fixture!$A$5:$A$108,0)),0),Fases!$A$5:$A$10,0)),0),0))))</f>
        <v/>
      </c>
      <c r="M308" s="10" t="str">
        <f aca="false">IFERROR(INDEX(Fixture!$K$5:$K$108,MATCH(D308,Fixture!$A$5:$A$108,0)),"")</f>
        <v>PENDIENTE</v>
      </c>
    </row>
    <row r="309" customFormat="false" ht="15" hidden="false" customHeight="false" outlineLevel="0" collapsed="false">
      <c r="A309" s="11" t="n">
        <v>305</v>
      </c>
      <c r="B309" s="11" t="n">
        <v>3</v>
      </c>
      <c r="C309" s="12" t="str">
        <f aca="false">IFERROR(INDEX(Usuarios!$C$5:$C$200,MATCH(B309,Usuarios!$A$5:$A$200,0)),"")</f>
        <v>juanpe</v>
      </c>
      <c r="D309" s="11" t="n">
        <v>99</v>
      </c>
      <c r="E309" s="12" t="str">
        <f aca="false">IFERROR(INDEX(Fases!$B$5:$B$10,MATCH(INDEX(Fixture!$B$5:$B$108,MATCH(D309,Fixture!$A$5:$A$108,0)),Fases!$A$5:$A$10,0)),"")</f>
        <v>Cuartos</v>
      </c>
      <c r="F309" s="12" t="str">
        <f aca="false">IFERROR(INDEX(Fixture!$E$5:$E$108,MATCH(D309,Fixture!$A$5:$A$108,0)),"")</f>
        <v>A definir</v>
      </c>
      <c r="G309" s="12" t="str">
        <f aca="false">IFERROR(INDEX(Fixture!$F$5:$F$108,MATCH(D309,Fixture!$A$5:$A$108,0)),"")</f>
        <v>A definir</v>
      </c>
      <c r="H309" s="20" t="n">
        <f aca="false">IFERROR(INDEX(Fixture!$G$5:$G$108,MATCH(D309,Fixture!$A$5:$A$108,0)),"")</f>
        <v>46215.75</v>
      </c>
      <c r="I309" s="21"/>
      <c r="J309" s="21"/>
      <c r="K309" s="12" t="str">
        <f aca="false">IFERROR(INDEX(Fixture!$I$5:$I$108,MATCH(D309,Fixture!$A$5:$A$108,0))&amp;"-"&amp;INDEX(Fixture!$J$5:$J$108,MATCH(D309,Fixture!$A$5:$A$108,0)),"")</f>
        <v>-</v>
      </c>
      <c r="L309" s="11" t="str">
        <f aca="false">IF(M309&lt;&gt;"FINALIZADO","",IF(OR(ISBLANK(I309),ISBLANK(J309)),0,IF(AND(I309=IFERROR(INDEX(Fixture!$I$5:$I$108,MATCH(D309,Fixture!$A$5:$A$108,0)),"-999"),J309=IFERROR(INDEX(Fixture!$J$5:$J$108,MATCH(D309,Fixture!$A$5:$A$108,0)),"-999")),IFERROR(INDEX(Fases!$C$5:$C$10,MATCH(IFERROR(INDEX(Fixture!$B$5:$B$108,MATCH(D309,Fixture!$A$5:$A$108,0)),0),Fases!$A$5:$A$10,0)),0),IF(OR(AND(I309&gt;J309,IFERROR(INDEX(Fixture!$I$5:$I$108,MATCH(D309,Fixture!$A$5:$A$108,0)),0)&gt;IFERROR(INDEX(Fixture!$J$5:$J$108,MATCH(D309,Fixture!$A$5:$A$108,0)),0)),AND(I309&lt;J309,IFERROR(INDEX(Fixture!$I$5:$I$108,MATCH(D309,Fixture!$A$5:$A$108,0)),0)&lt;IFERROR(INDEX(Fixture!$J$5:$J$108,MATCH(D309,Fixture!$A$5:$A$108,0)),0)),AND(I309=J309,IFERROR(INDEX(Fixture!$I$5:$I$108,MATCH(D309,Fixture!$A$5:$A$108,0)),0)=IFERROR(INDEX(Fixture!$J$5:$J$108,MATCH(D309,Fixture!$A$5:$A$108,0)),0))),IFERROR(INDEX(Fases!$D$5:$D$10,MATCH(IFERROR(INDEX(Fixture!$B$5:$B$108,MATCH(D309,Fixture!$A$5:$A$108,0)),0),Fases!$A$5:$A$10,0)),0),0))))</f>
        <v/>
      </c>
      <c r="M309" s="12" t="str">
        <f aca="false">IFERROR(INDEX(Fixture!$K$5:$K$108,MATCH(D309,Fixture!$A$5:$A$108,0)),"")</f>
        <v>PENDIENTE</v>
      </c>
    </row>
    <row r="310" customFormat="false" ht="15" hidden="false" customHeight="false" outlineLevel="0" collapsed="false">
      <c r="A310" s="9" t="n">
        <v>306</v>
      </c>
      <c r="B310" s="9" t="n">
        <v>3</v>
      </c>
      <c r="C310" s="10" t="str">
        <f aca="false">IFERROR(INDEX(Usuarios!$C$5:$C$200,MATCH(B310,Usuarios!$A$5:$A$200,0)),"")</f>
        <v>juanpe</v>
      </c>
      <c r="D310" s="9" t="n">
        <v>100</v>
      </c>
      <c r="E310" s="10" t="str">
        <f aca="false">IFERROR(INDEX(Fases!$B$5:$B$10,MATCH(INDEX(Fixture!$B$5:$B$108,MATCH(D310,Fixture!$A$5:$A$108,0)),Fases!$A$5:$A$10,0)),"")</f>
        <v>Cuartos</v>
      </c>
      <c r="F310" s="10" t="str">
        <f aca="false">IFERROR(INDEX(Fixture!$E$5:$E$108,MATCH(D310,Fixture!$A$5:$A$108,0)),"")</f>
        <v>A definir</v>
      </c>
      <c r="G310" s="10" t="str">
        <f aca="false">IFERROR(INDEX(Fixture!$F$5:$F$108,MATCH(D310,Fixture!$A$5:$A$108,0)),"")</f>
        <v>A definir</v>
      </c>
      <c r="H310" s="22" t="n">
        <f aca="false">IFERROR(INDEX(Fixture!$G$5:$G$108,MATCH(D310,Fixture!$A$5:$A$108,0)),"")</f>
        <v>46216.75</v>
      </c>
      <c r="I310" s="23"/>
      <c r="J310" s="23"/>
      <c r="K310" s="10" t="str">
        <f aca="false">IFERROR(INDEX(Fixture!$I$5:$I$108,MATCH(D310,Fixture!$A$5:$A$108,0))&amp;"-"&amp;INDEX(Fixture!$J$5:$J$108,MATCH(D310,Fixture!$A$5:$A$108,0)),"")</f>
        <v>-</v>
      </c>
      <c r="L310" s="9" t="str">
        <f aca="false">IF(M310&lt;&gt;"FINALIZADO","",IF(OR(ISBLANK(I310),ISBLANK(J310)),0,IF(AND(I310=IFERROR(INDEX(Fixture!$I$5:$I$108,MATCH(D310,Fixture!$A$5:$A$108,0)),"-999"),J310=IFERROR(INDEX(Fixture!$J$5:$J$108,MATCH(D310,Fixture!$A$5:$A$108,0)),"-999")),IFERROR(INDEX(Fases!$C$5:$C$10,MATCH(IFERROR(INDEX(Fixture!$B$5:$B$108,MATCH(D310,Fixture!$A$5:$A$108,0)),0),Fases!$A$5:$A$10,0)),0),IF(OR(AND(I310&gt;J310,IFERROR(INDEX(Fixture!$I$5:$I$108,MATCH(D310,Fixture!$A$5:$A$108,0)),0)&gt;IFERROR(INDEX(Fixture!$J$5:$J$108,MATCH(D310,Fixture!$A$5:$A$108,0)),0)),AND(I310&lt;J310,IFERROR(INDEX(Fixture!$I$5:$I$108,MATCH(D310,Fixture!$A$5:$A$108,0)),0)&lt;IFERROR(INDEX(Fixture!$J$5:$J$108,MATCH(D310,Fixture!$A$5:$A$108,0)),0)),AND(I310=J310,IFERROR(INDEX(Fixture!$I$5:$I$108,MATCH(D310,Fixture!$A$5:$A$108,0)),0)=IFERROR(INDEX(Fixture!$J$5:$J$108,MATCH(D310,Fixture!$A$5:$A$108,0)),0))),IFERROR(INDEX(Fases!$D$5:$D$10,MATCH(IFERROR(INDEX(Fixture!$B$5:$B$108,MATCH(D310,Fixture!$A$5:$A$108,0)),0),Fases!$A$5:$A$10,0)),0),0))))</f>
        <v/>
      </c>
      <c r="M310" s="10" t="str">
        <f aca="false">IFERROR(INDEX(Fixture!$K$5:$K$108,MATCH(D310,Fixture!$A$5:$A$108,0)),"")</f>
        <v>PENDIENTE</v>
      </c>
    </row>
    <row r="311" customFormat="false" ht="15" hidden="false" customHeight="false" outlineLevel="0" collapsed="false">
      <c r="A311" s="11" t="n">
        <v>307</v>
      </c>
      <c r="B311" s="11" t="n">
        <v>3</v>
      </c>
      <c r="C311" s="12" t="str">
        <f aca="false">IFERROR(INDEX(Usuarios!$C$5:$C$200,MATCH(B311,Usuarios!$A$5:$A$200,0)),"")</f>
        <v>juanpe</v>
      </c>
      <c r="D311" s="11" t="n">
        <v>101</v>
      </c>
      <c r="E311" s="12" t="str">
        <f aca="false">IFERROR(INDEX(Fases!$B$5:$B$10,MATCH(INDEX(Fixture!$B$5:$B$108,MATCH(D311,Fixture!$A$5:$A$108,0)),Fases!$A$5:$A$10,0)),"")</f>
        <v>Semifinales</v>
      </c>
      <c r="F311" s="12" t="str">
        <f aca="false">IFERROR(INDEX(Fixture!$E$5:$E$108,MATCH(D311,Fixture!$A$5:$A$108,0)),"")</f>
        <v>A definir</v>
      </c>
      <c r="G311" s="12" t="str">
        <f aca="false">IFERROR(INDEX(Fixture!$F$5:$F$108,MATCH(D311,Fixture!$A$5:$A$108,0)),"")</f>
        <v>A definir</v>
      </c>
      <c r="H311" s="20" t="n">
        <f aca="false">IFERROR(INDEX(Fixture!$G$5:$G$108,MATCH(D311,Fixture!$A$5:$A$108,0)),"")</f>
        <v>46217.7916666667</v>
      </c>
      <c r="I311" s="21"/>
      <c r="J311" s="21"/>
      <c r="K311" s="12" t="str">
        <f aca="false">IFERROR(INDEX(Fixture!$I$5:$I$108,MATCH(D311,Fixture!$A$5:$A$108,0))&amp;"-"&amp;INDEX(Fixture!$J$5:$J$108,MATCH(D311,Fixture!$A$5:$A$108,0)),"")</f>
        <v>-</v>
      </c>
      <c r="L311" s="11" t="str">
        <f aca="false">IF(M311&lt;&gt;"FINALIZADO","",IF(OR(ISBLANK(I311),ISBLANK(J311)),0,IF(AND(I311=IFERROR(INDEX(Fixture!$I$5:$I$108,MATCH(D311,Fixture!$A$5:$A$108,0)),"-999"),J311=IFERROR(INDEX(Fixture!$J$5:$J$108,MATCH(D311,Fixture!$A$5:$A$108,0)),"-999")),IFERROR(INDEX(Fases!$C$5:$C$10,MATCH(IFERROR(INDEX(Fixture!$B$5:$B$108,MATCH(D311,Fixture!$A$5:$A$108,0)),0),Fases!$A$5:$A$10,0)),0),IF(OR(AND(I311&gt;J311,IFERROR(INDEX(Fixture!$I$5:$I$108,MATCH(D311,Fixture!$A$5:$A$108,0)),0)&gt;IFERROR(INDEX(Fixture!$J$5:$J$108,MATCH(D311,Fixture!$A$5:$A$108,0)),0)),AND(I311&lt;J311,IFERROR(INDEX(Fixture!$I$5:$I$108,MATCH(D311,Fixture!$A$5:$A$108,0)),0)&lt;IFERROR(INDEX(Fixture!$J$5:$J$108,MATCH(D311,Fixture!$A$5:$A$108,0)),0)),AND(I311=J311,IFERROR(INDEX(Fixture!$I$5:$I$108,MATCH(D311,Fixture!$A$5:$A$108,0)),0)=IFERROR(INDEX(Fixture!$J$5:$J$108,MATCH(D311,Fixture!$A$5:$A$108,0)),0))),IFERROR(INDEX(Fases!$D$5:$D$10,MATCH(IFERROR(INDEX(Fixture!$B$5:$B$108,MATCH(D311,Fixture!$A$5:$A$108,0)),0),Fases!$A$5:$A$10,0)),0),0))))</f>
        <v/>
      </c>
      <c r="M311" s="12" t="str">
        <f aca="false">IFERROR(INDEX(Fixture!$K$5:$K$108,MATCH(D311,Fixture!$A$5:$A$108,0)),"")</f>
        <v>PENDIENTE</v>
      </c>
    </row>
    <row r="312" customFormat="false" ht="15" hidden="false" customHeight="false" outlineLevel="0" collapsed="false">
      <c r="A312" s="9" t="n">
        <v>308</v>
      </c>
      <c r="B312" s="9" t="n">
        <v>3</v>
      </c>
      <c r="C312" s="10" t="str">
        <f aca="false">IFERROR(INDEX(Usuarios!$C$5:$C$200,MATCH(B312,Usuarios!$A$5:$A$200,0)),"")</f>
        <v>juanpe</v>
      </c>
      <c r="D312" s="9" t="n">
        <v>102</v>
      </c>
      <c r="E312" s="10" t="str">
        <f aca="false">IFERROR(INDEX(Fases!$B$5:$B$10,MATCH(INDEX(Fixture!$B$5:$B$108,MATCH(D312,Fixture!$A$5:$A$108,0)),Fases!$A$5:$A$10,0)),"")</f>
        <v>Semifinales</v>
      </c>
      <c r="F312" s="10" t="str">
        <f aca="false">IFERROR(INDEX(Fixture!$E$5:$E$108,MATCH(D312,Fixture!$A$5:$A$108,0)),"")</f>
        <v>A definir</v>
      </c>
      <c r="G312" s="10" t="str">
        <f aca="false">IFERROR(INDEX(Fixture!$F$5:$F$108,MATCH(D312,Fixture!$A$5:$A$108,0)),"")</f>
        <v>A definir</v>
      </c>
      <c r="H312" s="22" t="n">
        <f aca="false">IFERROR(INDEX(Fixture!$G$5:$G$108,MATCH(D312,Fixture!$A$5:$A$108,0)),"")</f>
        <v>46219.7916666667</v>
      </c>
      <c r="I312" s="23"/>
      <c r="J312" s="23"/>
      <c r="K312" s="10" t="str">
        <f aca="false">IFERROR(INDEX(Fixture!$I$5:$I$108,MATCH(D312,Fixture!$A$5:$A$108,0))&amp;"-"&amp;INDEX(Fixture!$J$5:$J$108,MATCH(D312,Fixture!$A$5:$A$108,0)),"")</f>
        <v>-</v>
      </c>
      <c r="L312" s="9" t="str">
        <f aca="false">IF(M312&lt;&gt;"FINALIZADO","",IF(OR(ISBLANK(I312),ISBLANK(J312)),0,IF(AND(I312=IFERROR(INDEX(Fixture!$I$5:$I$108,MATCH(D312,Fixture!$A$5:$A$108,0)),"-999"),J312=IFERROR(INDEX(Fixture!$J$5:$J$108,MATCH(D312,Fixture!$A$5:$A$108,0)),"-999")),IFERROR(INDEX(Fases!$C$5:$C$10,MATCH(IFERROR(INDEX(Fixture!$B$5:$B$108,MATCH(D312,Fixture!$A$5:$A$108,0)),0),Fases!$A$5:$A$10,0)),0),IF(OR(AND(I312&gt;J312,IFERROR(INDEX(Fixture!$I$5:$I$108,MATCH(D312,Fixture!$A$5:$A$108,0)),0)&gt;IFERROR(INDEX(Fixture!$J$5:$J$108,MATCH(D312,Fixture!$A$5:$A$108,0)),0)),AND(I312&lt;J312,IFERROR(INDEX(Fixture!$I$5:$I$108,MATCH(D312,Fixture!$A$5:$A$108,0)),0)&lt;IFERROR(INDEX(Fixture!$J$5:$J$108,MATCH(D312,Fixture!$A$5:$A$108,0)),0)),AND(I312=J312,IFERROR(INDEX(Fixture!$I$5:$I$108,MATCH(D312,Fixture!$A$5:$A$108,0)),0)=IFERROR(INDEX(Fixture!$J$5:$J$108,MATCH(D312,Fixture!$A$5:$A$108,0)),0))),IFERROR(INDEX(Fases!$D$5:$D$10,MATCH(IFERROR(INDEX(Fixture!$B$5:$B$108,MATCH(D312,Fixture!$A$5:$A$108,0)),0),Fases!$A$5:$A$10,0)),0),0))))</f>
        <v/>
      </c>
      <c r="M312" s="10" t="str">
        <f aca="false">IFERROR(INDEX(Fixture!$K$5:$K$108,MATCH(D312,Fixture!$A$5:$A$108,0)),"")</f>
        <v>PENDIENTE</v>
      </c>
    </row>
    <row r="313" customFormat="false" ht="15" hidden="false" customHeight="false" outlineLevel="0" collapsed="false">
      <c r="A313" s="11" t="n">
        <v>309</v>
      </c>
      <c r="B313" s="11" t="n">
        <v>3</v>
      </c>
      <c r="C313" s="12" t="str">
        <f aca="false">IFERROR(INDEX(Usuarios!$C$5:$C$200,MATCH(B313,Usuarios!$A$5:$A$200,0)),"")</f>
        <v>juanpe</v>
      </c>
      <c r="D313" s="11" t="n">
        <v>103</v>
      </c>
      <c r="E313" s="12" t="str">
        <f aca="false">IFERROR(INDEX(Fases!$B$5:$B$10,MATCH(INDEX(Fixture!$B$5:$B$108,MATCH(D313,Fixture!$A$5:$A$108,0)),Fases!$A$5:$A$10,0)),"")</f>
        <v>Final</v>
      </c>
      <c r="F313" s="12" t="str">
        <f aca="false">IFERROR(INDEX(Fixture!$E$5:$E$108,MATCH(D313,Fixture!$A$5:$A$108,0)),"")</f>
        <v>A definir</v>
      </c>
      <c r="G313" s="12" t="str">
        <f aca="false">IFERROR(INDEX(Fixture!$F$5:$F$108,MATCH(D313,Fixture!$A$5:$A$108,0)),"")</f>
        <v>A definir</v>
      </c>
      <c r="H313" s="20" t="n">
        <f aca="false">IFERROR(INDEX(Fixture!$G$5:$G$108,MATCH(D313,Fixture!$A$5:$A$108,0)),"")</f>
        <v>46222.7916666667</v>
      </c>
      <c r="I313" s="21"/>
      <c r="J313" s="21"/>
      <c r="K313" s="12" t="str">
        <f aca="false">IFERROR(INDEX(Fixture!$I$5:$I$108,MATCH(D313,Fixture!$A$5:$A$108,0))&amp;"-"&amp;INDEX(Fixture!$J$5:$J$108,MATCH(D313,Fixture!$A$5:$A$108,0)),"")</f>
        <v>-</v>
      </c>
      <c r="L313" s="11" t="str">
        <f aca="false">IF(M313&lt;&gt;"FINALIZADO","",IF(OR(ISBLANK(I313),ISBLANK(J313)),0,IF(AND(I313=IFERROR(INDEX(Fixture!$I$5:$I$108,MATCH(D313,Fixture!$A$5:$A$108,0)),"-999"),J313=IFERROR(INDEX(Fixture!$J$5:$J$108,MATCH(D313,Fixture!$A$5:$A$108,0)),"-999")),IFERROR(INDEX(Fases!$C$5:$C$10,MATCH(IFERROR(INDEX(Fixture!$B$5:$B$108,MATCH(D313,Fixture!$A$5:$A$108,0)),0),Fases!$A$5:$A$10,0)),0),IF(OR(AND(I313&gt;J313,IFERROR(INDEX(Fixture!$I$5:$I$108,MATCH(D313,Fixture!$A$5:$A$108,0)),0)&gt;IFERROR(INDEX(Fixture!$J$5:$J$108,MATCH(D313,Fixture!$A$5:$A$108,0)),0)),AND(I313&lt;J313,IFERROR(INDEX(Fixture!$I$5:$I$108,MATCH(D313,Fixture!$A$5:$A$108,0)),0)&lt;IFERROR(INDEX(Fixture!$J$5:$J$108,MATCH(D313,Fixture!$A$5:$A$108,0)),0)),AND(I313=J313,IFERROR(INDEX(Fixture!$I$5:$I$108,MATCH(D313,Fixture!$A$5:$A$108,0)),0)=IFERROR(INDEX(Fixture!$J$5:$J$108,MATCH(D313,Fixture!$A$5:$A$108,0)),0))),IFERROR(INDEX(Fases!$D$5:$D$10,MATCH(IFERROR(INDEX(Fixture!$B$5:$B$108,MATCH(D313,Fixture!$A$5:$A$108,0)),0),Fases!$A$5:$A$10,0)),0),0))))</f>
        <v/>
      </c>
      <c r="M313" s="12" t="str">
        <f aca="false">IFERROR(INDEX(Fixture!$K$5:$K$108,MATCH(D313,Fixture!$A$5:$A$108,0)),"")</f>
        <v>PENDIENTE</v>
      </c>
    </row>
  </sheetData>
  <conditionalFormatting sqref="L5:L313">
    <cfRule type="expression" priority="2" aboveAverage="0" equalAverage="0" bottom="0" percent="0" rank="0" text="" dxfId="0">
      <formula>AND(L5&gt;0,L5=IFERROR(INDEX(Fases!$C$5:$C$10,MATCH(IFERROR(INDEX(Fixture!$B$5:$B$108,MATCH(D5,Fixture!$A$5:$A$108,0)),0),Fases!$A$5:$A$10,0)),0))</formula>
    </cfRule>
    <cfRule type="expression" priority="3" aboveAverage="0" equalAverage="0" bottom="0" percent="0" rank="0" text="" dxfId="1">
      <formula>AND(L5&gt;0,L5&lt;IFERROR(INDEX(Fases!$C$5:$C$10,MATCH(IFERROR(INDEX(Fixture!$B$5:$B$108,MATCH(D5,Fixture!$A$5:$A$108,0)),0),Fases!$A$5:$A$10,0)),0))</formula>
    </cfRule>
    <cfRule type="cellIs" priority="4" operator="equal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DCAA5"/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28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36" hidden="false" customHeight="true" outlineLevel="0" collapsed="false">
      <c r="A1" s="6" t="s">
        <v>250</v>
      </c>
    </row>
    <row r="2" customFormat="false" ht="19.5" hidden="false" customHeight="true" outlineLevel="0" collapsed="false">
      <c r="A2" s="7" t="s">
        <v>251</v>
      </c>
    </row>
    <row r="4" customFormat="false" ht="15" hidden="false" customHeight="false" outlineLevel="0" collapsed="false">
      <c r="A4" s="18" t="s">
        <v>41</v>
      </c>
      <c r="B4" s="18" t="s">
        <v>242</v>
      </c>
      <c r="C4" s="18" t="s">
        <v>217</v>
      </c>
      <c r="D4" s="18" t="s">
        <v>252</v>
      </c>
      <c r="E4" s="18" t="s">
        <v>253</v>
      </c>
      <c r="F4" s="18" t="s">
        <v>254</v>
      </c>
      <c r="G4" s="18" t="s">
        <v>255</v>
      </c>
    </row>
    <row r="5" customFormat="false" ht="15" hidden="false" customHeight="false" outlineLevel="0" collapsed="false">
      <c r="A5" s="11" t="n">
        <v>1</v>
      </c>
      <c r="B5" s="11" t="n">
        <v>1</v>
      </c>
      <c r="C5" s="12" t="str">
        <f aca="false">IFERROR(INDEX(Usuarios!$C$5:$C$200,MATCH(B5,Usuarios!$A$5:$A$200,0)),"")</f>
        <v>carlitos</v>
      </c>
      <c r="D5" s="12" t="s">
        <v>256</v>
      </c>
      <c r="E5" s="12"/>
      <c r="F5" s="14" t="n">
        <v>15</v>
      </c>
      <c r="G5" s="11"/>
    </row>
    <row r="6" customFormat="false" ht="15" hidden="false" customHeight="false" outlineLevel="0" collapsed="false">
      <c r="A6" s="9" t="n">
        <v>2</v>
      </c>
      <c r="B6" s="9" t="n">
        <v>1</v>
      </c>
      <c r="C6" s="10" t="str">
        <f aca="false">IFERROR(INDEX(Usuarios!$C$5:$C$200,MATCH(B6,Usuarios!$A$5:$A$200,0)),"")</f>
        <v>carlitos</v>
      </c>
      <c r="D6" s="10" t="s">
        <v>257</v>
      </c>
      <c r="E6" s="10"/>
      <c r="F6" s="13" t="n">
        <v>8</v>
      </c>
      <c r="G6" s="9"/>
    </row>
    <row r="7" customFormat="false" ht="15" hidden="false" customHeight="false" outlineLevel="0" collapsed="false">
      <c r="A7" s="11" t="n">
        <v>3</v>
      </c>
      <c r="B7" s="11" t="n">
        <v>1</v>
      </c>
      <c r="C7" s="12" t="str">
        <f aca="false">IFERROR(INDEX(Usuarios!$C$5:$C$200,MATCH(B7,Usuarios!$A$5:$A$200,0)),"")</f>
        <v>carlitos</v>
      </c>
      <c r="D7" s="12" t="s">
        <v>258</v>
      </c>
      <c r="E7" s="12"/>
      <c r="F7" s="14" t="n">
        <v>8</v>
      </c>
      <c r="G7" s="11"/>
    </row>
    <row r="8" customFormat="false" ht="15" hidden="false" customHeight="false" outlineLevel="0" collapsed="false">
      <c r="A8" s="9" t="n">
        <v>4</v>
      </c>
      <c r="B8" s="9" t="n">
        <v>1</v>
      </c>
      <c r="C8" s="10" t="str">
        <f aca="false">IFERROR(INDEX(Usuarios!$C$5:$C$200,MATCH(B8,Usuarios!$A$5:$A$200,0)),"")</f>
        <v>carlitos</v>
      </c>
      <c r="D8" s="10" t="s">
        <v>259</v>
      </c>
      <c r="E8" s="10"/>
      <c r="F8" s="13" t="n">
        <v>5</v>
      </c>
      <c r="G8" s="9"/>
    </row>
    <row r="9" customFormat="false" ht="15" hidden="false" customHeight="false" outlineLevel="0" collapsed="false">
      <c r="A9" s="11" t="n">
        <v>5</v>
      </c>
      <c r="B9" s="11" t="n">
        <v>2</v>
      </c>
      <c r="C9" s="12" t="str">
        <f aca="false">IFERROR(INDEX(Usuarios!$C$5:$C$200,MATCH(B9,Usuarios!$A$5:$A$200,0)),"")</f>
        <v>mari23</v>
      </c>
      <c r="D9" s="12" t="s">
        <v>256</v>
      </c>
      <c r="E9" s="12"/>
      <c r="F9" s="14" t="n">
        <v>15</v>
      </c>
      <c r="G9" s="11"/>
    </row>
    <row r="10" customFormat="false" ht="15" hidden="false" customHeight="false" outlineLevel="0" collapsed="false">
      <c r="A10" s="9" t="n">
        <v>6</v>
      </c>
      <c r="B10" s="9" t="n">
        <v>2</v>
      </c>
      <c r="C10" s="10" t="str">
        <f aca="false">IFERROR(INDEX(Usuarios!$C$5:$C$200,MATCH(B10,Usuarios!$A$5:$A$200,0)),"")</f>
        <v>mari23</v>
      </c>
      <c r="D10" s="10" t="s">
        <v>257</v>
      </c>
      <c r="E10" s="10"/>
      <c r="F10" s="13" t="n">
        <v>8</v>
      </c>
      <c r="G10" s="9"/>
    </row>
    <row r="11" customFormat="false" ht="15" hidden="false" customHeight="false" outlineLevel="0" collapsed="false">
      <c r="A11" s="11" t="n">
        <v>7</v>
      </c>
      <c r="B11" s="11" t="n">
        <v>2</v>
      </c>
      <c r="C11" s="12" t="str">
        <f aca="false">IFERROR(INDEX(Usuarios!$C$5:$C$200,MATCH(B11,Usuarios!$A$5:$A$200,0)),"")</f>
        <v>mari23</v>
      </c>
      <c r="D11" s="12" t="s">
        <v>258</v>
      </c>
      <c r="E11" s="12"/>
      <c r="F11" s="14" t="n">
        <v>8</v>
      </c>
      <c r="G11" s="11"/>
    </row>
    <row r="12" customFormat="false" ht="15" hidden="false" customHeight="false" outlineLevel="0" collapsed="false">
      <c r="A12" s="9" t="n">
        <v>8</v>
      </c>
      <c r="B12" s="9" t="n">
        <v>2</v>
      </c>
      <c r="C12" s="10" t="str">
        <f aca="false">IFERROR(INDEX(Usuarios!$C$5:$C$200,MATCH(B12,Usuarios!$A$5:$A$200,0)),"")</f>
        <v>mari23</v>
      </c>
      <c r="D12" s="10" t="s">
        <v>259</v>
      </c>
      <c r="E12" s="10"/>
      <c r="F12" s="13" t="n">
        <v>5</v>
      </c>
      <c r="G12" s="9"/>
    </row>
    <row r="13" customFormat="false" ht="15" hidden="false" customHeight="false" outlineLevel="0" collapsed="false">
      <c r="A13" s="11" t="n">
        <v>9</v>
      </c>
      <c r="B13" s="11" t="n">
        <v>3</v>
      </c>
      <c r="C13" s="12" t="str">
        <f aca="false">IFERROR(INDEX(Usuarios!$C$5:$C$200,MATCH(B13,Usuarios!$A$5:$A$200,0)),"")</f>
        <v>juanpe</v>
      </c>
      <c r="D13" s="12" t="s">
        <v>256</v>
      </c>
      <c r="E13" s="12"/>
      <c r="F13" s="14" t="n">
        <v>15</v>
      </c>
      <c r="G13" s="11"/>
    </row>
    <row r="14" customFormat="false" ht="15" hidden="false" customHeight="false" outlineLevel="0" collapsed="false">
      <c r="A14" s="9" t="n">
        <v>10</v>
      </c>
      <c r="B14" s="9" t="n">
        <v>3</v>
      </c>
      <c r="C14" s="10" t="str">
        <f aca="false">IFERROR(INDEX(Usuarios!$C$5:$C$200,MATCH(B14,Usuarios!$A$5:$A$200,0)),"")</f>
        <v>juanpe</v>
      </c>
      <c r="D14" s="10" t="s">
        <v>257</v>
      </c>
      <c r="E14" s="10"/>
      <c r="F14" s="13" t="n">
        <v>8</v>
      </c>
      <c r="G14" s="9"/>
    </row>
    <row r="15" customFormat="false" ht="15" hidden="false" customHeight="false" outlineLevel="0" collapsed="false">
      <c r="A15" s="11" t="n">
        <v>11</v>
      </c>
      <c r="B15" s="11" t="n">
        <v>3</v>
      </c>
      <c r="C15" s="12" t="str">
        <f aca="false">IFERROR(INDEX(Usuarios!$C$5:$C$200,MATCH(B15,Usuarios!$A$5:$A$200,0)),"")</f>
        <v>juanpe</v>
      </c>
      <c r="D15" s="12" t="s">
        <v>258</v>
      </c>
      <c r="E15" s="12"/>
      <c r="F15" s="14" t="n">
        <v>8</v>
      </c>
      <c r="G15" s="11"/>
    </row>
    <row r="16" customFormat="false" ht="15" hidden="false" customHeight="false" outlineLevel="0" collapsed="false">
      <c r="A16" s="9" t="n">
        <v>12</v>
      </c>
      <c r="B16" s="9" t="n">
        <v>3</v>
      </c>
      <c r="C16" s="10" t="str">
        <f aca="false">IFERROR(INDEX(Usuarios!$C$5:$C$200,MATCH(B16,Usuarios!$A$5:$A$200,0)),"")</f>
        <v>juanpe</v>
      </c>
      <c r="D16" s="10" t="s">
        <v>259</v>
      </c>
      <c r="E16" s="10"/>
      <c r="F16" s="13" t="n">
        <v>5</v>
      </c>
      <c r="G16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12"/>
  </cols>
  <sheetData>
    <row r="1" customFormat="false" ht="36" hidden="false" customHeight="true" outlineLevel="0" collapsed="false">
      <c r="A1" s="6" t="s">
        <v>260</v>
      </c>
    </row>
    <row r="2" customFormat="false" ht="19.5" hidden="false" customHeight="true" outlineLevel="0" collapsed="false">
      <c r="A2" s="7" t="s">
        <v>261</v>
      </c>
    </row>
    <row r="4" customFormat="false" ht="15" hidden="false" customHeight="false" outlineLevel="0" collapsed="false">
      <c r="A4" s="18" t="s">
        <v>262</v>
      </c>
      <c r="B4" s="18" t="s">
        <v>217</v>
      </c>
      <c r="C4" s="18" t="s">
        <v>263</v>
      </c>
      <c r="D4" s="18" t="s">
        <v>264</v>
      </c>
      <c r="E4" s="18" t="s">
        <v>265</v>
      </c>
      <c r="F4" s="18" t="s">
        <v>266</v>
      </c>
      <c r="G4" s="18" t="s">
        <v>267</v>
      </c>
    </row>
    <row r="5" customFormat="false" ht="15" hidden="false" customHeight="false" outlineLevel="0" collapsed="false">
      <c r="A5" s="24" t="n">
        <f aca="false">RANK(E5,E$5:E$7,0)</f>
        <v>1</v>
      </c>
      <c r="B5" s="25" t="str">
        <f aca="false">IFERROR(INDEX(Usuarios!$C$5:$C$200,MATCH(1,Usuarios!$A$5:$A$200,0)),"")</f>
        <v>carlitos</v>
      </c>
      <c r="C5" s="9" t="n">
        <f aca="false">SUMIF(Predicciones!$B$5:$B$313,1,Predicciones!$L$5:$L$313)</f>
        <v>0</v>
      </c>
      <c r="D5" s="9" t="n">
        <f aca="false">SUMIF(Bonus!$B$5:$B$200,1,Bonus!$G$5:$G$200)</f>
        <v>0</v>
      </c>
      <c r="E5" s="24" t="n">
        <f aca="false">C5+D5</f>
        <v>0</v>
      </c>
      <c r="F5" s="9" t="n">
        <f aca="false">COUNTIFS(Predicciones!$B$5:$B$313,1,Predicciones!$L$5:$L$313,"&gt;=3",Predicciones!$M$5:$M$313,"FINALIZADO")</f>
        <v>0</v>
      </c>
      <c r="G5" s="9" t="n">
        <f aca="false">COUNTIFS(Predicciones!$B$5:$B$313,1,Predicciones!$L$5:$L$313,"&gt;=1",Predicciones!$M$5:$M$313,"FINALIZADO")-F5</f>
        <v>0</v>
      </c>
    </row>
    <row r="6" customFormat="false" ht="15" hidden="false" customHeight="false" outlineLevel="0" collapsed="false">
      <c r="A6" s="26" t="n">
        <f aca="false">RANK(E6,E$5:E$8,0)</f>
        <v>1</v>
      </c>
      <c r="B6" s="27" t="str">
        <f aca="false">IFERROR(INDEX(Usuarios!$C$5:$C$200,MATCH(2,Usuarios!$A$5:$A$200,0)),"")</f>
        <v>mari23</v>
      </c>
      <c r="C6" s="11" t="n">
        <f aca="false">SUMIF(Predicciones!$B$5:$B$313,2,Predicciones!$L$5:$L$313)</f>
        <v>0</v>
      </c>
      <c r="D6" s="11" t="n">
        <f aca="false">SUMIF(Bonus!$B$5:$B$200,2,Bonus!$G$5:$G$200)</f>
        <v>0</v>
      </c>
      <c r="E6" s="26" t="n">
        <f aca="false">C6+D6</f>
        <v>0</v>
      </c>
      <c r="F6" s="11" t="n">
        <f aca="false">COUNTIFS(Predicciones!$B$5:$B$313,2,Predicciones!$L$5:$L$313,"&gt;=3",Predicciones!$M$5:$M$313,"FINALIZADO")</f>
        <v>0</v>
      </c>
      <c r="G6" s="11" t="n">
        <f aca="false">COUNTIFS(Predicciones!$B$5:$B$313,2,Predicciones!$L$5:$L$313,"&gt;=1",Predicciones!$M$5:$M$313,"FINALIZADO")-F6</f>
        <v>0</v>
      </c>
    </row>
    <row r="7" customFormat="false" ht="15" hidden="false" customHeight="false" outlineLevel="0" collapsed="false">
      <c r="A7" s="24" t="n">
        <f aca="false">RANK(E7,E$5:E$9,0)</f>
        <v>1</v>
      </c>
      <c r="B7" s="25" t="str">
        <f aca="false">IFERROR(INDEX(Usuarios!$C$5:$C$200,MATCH(3,Usuarios!$A$5:$A$200,0)),"")</f>
        <v>juanpe</v>
      </c>
      <c r="C7" s="9" t="n">
        <f aca="false">SUMIF(Predicciones!$B$5:$B$313,3,Predicciones!$L$5:$L$313)</f>
        <v>0</v>
      </c>
      <c r="D7" s="9" t="n">
        <f aca="false">SUMIF(Bonus!$B$5:$B$200,3,Bonus!$G$5:$G$200)</f>
        <v>0</v>
      </c>
      <c r="E7" s="24" t="n">
        <f aca="false">C7+D7</f>
        <v>0</v>
      </c>
      <c r="F7" s="9" t="n">
        <f aca="false">COUNTIFS(Predicciones!$B$5:$B$313,3,Predicciones!$L$5:$L$313,"&gt;=3",Predicciones!$M$5:$M$313,"FINALIZADO")</f>
        <v>0</v>
      </c>
      <c r="G7" s="9" t="n">
        <f aca="false">COUNTIFS(Predicciones!$B$5:$B$313,3,Predicciones!$L$5:$L$313,"&gt;=1",Predicciones!$M$5:$M$313,"FINALIZADO")-F7</f>
        <v>0</v>
      </c>
    </row>
  </sheetData>
  <sheetProtection sheet="true" password="c724"/>
  <conditionalFormatting sqref="A5:G7">
    <cfRule type="expression" priority="2" aboveAverage="0" equalAverage="0" bottom="0" percent="0" rank="0" text="" dxfId="1">
      <formula>$A5=1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8"/>
  </cols>
  <sheetData>
    <row r="1" customFormat="false" ht="36" hidden="false" customHeight="true" outlineLevel="0" collapsed="false">
      <c r="A1" s="6" t="s">
        <v>268</v>
      </c>
    </row>
    <row r="2" customFormat="false" ht="19.5" hidden="false" customHeight="true" outlineLevel="0" collapsed="false">
      <c r="A2" s="7" t="s">
        <v>269</v>
      </c>
    </row>
    <row r="5" customFormat="false" ht="30" hidden="false" customHeight="true" outlineLevel="0" collapsed="false">
      <c r="B5" s="28" t="s">
        <v>270</v>
      </c>
      <c r="C5" s="29" t="n">
        <f aca="false">COUNTIF(Fixture!$K$5:$K$107,"FINALIZADO")</f>
        <v>0</v>
      </c>
    </row>
    <row r="6" customFormat="false" ht="30" hidden="false" customHeight="true" outlineLevel="0" collapsed="false">
      <c r="B6" s="28" t="s">
        <v>271</v>
      </c>
      <c r="C6" s="29" t="n">
        <f aca="false">COUNTIF(Fixture!$K$5:$K$107,"PENDIENTE")</f>
        <v>103</v>
      </c>
    </row>
    <row r="7" customFormat="false" ht="30" hidden="false" customHeight="true" outlineLevel="0" collapsed="false">
      <c r="B7" s="28" t="s">
        <v>272</v>
      </c>
      <c r="C7" s="29" t="n">
        <f aca="false">COUNTA(Predicciones!$I$5:$I$313)</f>
        <v>0</v>
      </c>
    </row>
    <row r="8" customFormat="false" ht="30" hidden="false" customHeight="true" outlineLevel="0" collapsed="false">
      <c r="B8" s="28" t="s">
        <v>273</v>
      </c>
      <c r="C8" s="29" t="n">
        <f aca="false">COUNTIF(Usuarios!$E$5:$E$200,"JUGADOR")</f>
        <v>3</v>
      </c>
    </row>
    <row r="9" customFormat="false" ht="30" hidden="false" customHeight="true" outlineLevel="0" collapsed="false">
      <c r="B9" s="28" t="s">
        <v>274</v>
      </c>
      <c r="C9" s="29" t="str">
        <f aca="false">IFERROR(INDEX(Posiciones!$B$5:$B$7,MATCH(1,Posiciones!$A$5:$A$7,0)),"—")</f>
        <v>carlitos</v>
      </c>
    </row>
    <row r="10" customFormat="false" ht="30" hidden="false" customHeight="true" outlineLevel="0" collapsed="false">
      <c r="B10" s="28" t="s">
        <v>275</v>
      </c>
      <c r="C10" s="29" t="n">
        <f aca="false">IFERROR(INDEX(Posiciones!$E$5:$E$7,MATCH(1,Posiciones!$A$5:$A$7,0)),"—")</f>
        <v>0</v>
      </c>
    </row>
    <row r="11" customFormat="false" ht="30" hidden="false" customHeight="true" outlineLevel="0" collapsed="false">
      <c r="B11" s="28" t="s">
        <v>276</v>
      </c>
      <c r="C11" s="29" t="n">
        <f aca="false">SUMIF(Predicciones!$M$5:$M$313,"FINALIZADO",Predicciones!$L$5:$L$313)</f>
        <v>0</v>
      </c>
    </row>
    <row r="12" customFormat="false" ht="30" hidden="false" customHeight="true" outlineLevel="0" collapsed="false">
      <c r="B12" s="28" t="s">
        <v>277</v>
      </c>
      <c r="C12" s="29" t="str">
        <f aca="false">IFERROR(INDEX(Fixture!$E$5:$E$107,MATCH("PENDIENTE",Fixture!$K$5:$K$107,0))&amp;" vs "&amp;INDEX(Fixture!$F$5:$F$107,MATCH("PENDIENTE",Fixture!$K$5:$K$107,0)),"Torneo finalizado")</f>
        <v>Argentina vs Bolivia</v>
      </c>
    </row>
    <row r="14" customFormat="false" ht="15" hidden="false" customHeight="false" outlineLevel="0" collapsed="false">
      <c r="B14" s="30" t="s">
        <v>278</v>
      </c>
      <c r="C14" s="30" t="s">
        <v>248</v>
      </c>
    </row>
    <row r="15" customFormat="false" ht="15" hidden="false" customHeight="false" outlineLevel="0" collapsed="false">
      <c r="B15" s="31" t="str">
        <f aca="false">IFERROR(INDEX(Posiciones!$B$5:$B$7,MATCH(1,Posiciones!$A$5:$A$7,0)),"—")</f>
        <v>carlitos</v>
      </c>
      <c r="C15" s="32" t="n">
        <f aca="false">IFERROR(INDEX(Posiciones!$E$5:$E$7,MATCH(1,Posiciones!$A$5:$A$7,0)),"—")</f>
        <v>0</v>
      </c>
    </row>
    <row r="16" customFormat="false" ht="15" hidden="false" customHeight="false" outlineLevel="0" collapsed="false">
      <c r="B16" s="12" t="str">
        <f aca="false">IFERROR(INDEX(Posiciones!$B$5:$B$7,MATCH(2,Posiciones!$A$5:$A$7,0)),"—")</f>
        <v>—</v>
      </c>
      <c r="C16" s="33" t="str">
        <f aca="false">IFERROR(INDEX(Posiciones!$E$5:$E$7,MATCH(2,Posiciones!$A$5:$A$7,0)),"—")</f>
        <v>—</v>
      </c>
    </row>
    <row r="17" customFormat="false" ht="15" hidden="false" customHeight="false" outlineLevel="0" collapsed="false">
      <c r="B17" s="10" t="str">
        <f aca="false">IFERROR(INDEX(Posiciones!$B$5:$B$7,MATCH(3,Posiciones!$A$5:$A$7,0)),"—")</f>
        <v>—</v>
      </c>
      <c r="C17" s="34" t="str">
        <f aca="false">IFERROR(INDEX(Posiciones!$E$5:$E$7,MATCH(3,Posiciones!$A$5:$A$7,0)),"—")</f>
        <v>—</v>
      </c>
    </row>
  </sheetData>
  <sheetProtection sheet="true" password="c7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2026-06-05T14:27:22Z</dcterms:created>
  <dc:creator>openpyxl</dc:creator>
  <dc:description/>
  <dc:language>en-US</dc:language>
  <cp:lastModifiedBy/>
  <dcterms:modified xsi:type="dcterms:W3CDTF">2026-06-05T14:27:23Z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